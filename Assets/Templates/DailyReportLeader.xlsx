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ailyMachine5\ProductionProject\backend\Assets\Templates\"/>
    </mc:Choice>
  </mc:AlternateContent>
  <xr:revisionPtr revIDLastSave="0" documentId="13_ncr:1_{CBFC3963-FB83-44DF-9FCC-BE48BE423684}" xr6:coauthVersionLast="47" xr6:coauthVersionMax="47" xr10:uidLastSave="{00000000-0000-0000-0000-000000000000}"/>
  <bookViews>
    <workbookView xWindow="-110" yWindow="-110" windowWidth="19420" windowHeight="11500" xr2:uid="{889AE87C-100B-493A-85C7-F602D9A8FDEB}"/>
  </bookViews>
  <sheets>
    <sheet name="Template" sheetId="1" r:id="rId1"/>
  </sheets>
  <externalReferences>
    <externalReference r:id="rId2"/>
  </externalReferences>
  <definedNames>
    <definedName name="_xlnm._FilterDatabase" localSheetId="0" hidden="1">Template!#REF!</definedName>
    <definedName name="AQ">[1]Produksi!#REF!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6" i="1" l="1"/>
  <c r="AO57" i="1"/>
  <c r="AN57" i="1"/>
  <c r="AM57" i="1"/>
  <c r="AO56" i="1"/>
  <c r="AN56" i="1"/>
  <c r="AM56" i="1"/>
  <c r="AO55" i="1"/>
  <c r="AN55" i="1"/>
  <c r="AM55" i="1"/>
  <c r="AO54" i="1"/>
  <c r="AO58" i="1" s="1"/>
  <c r="AN54" i="1"/>
  <c r="AM54" i="1"/>
  <c r="AO53" i="1"/>
  <c r="AN53" i="1"/>
  <c r="AN58" i="1" s="1"/>
  <c r="AM53" i="1"/>
  <c r="AM58" i="1" s="1"/>
  <c r="AO52" i="1"/>
  <c r="AO51" i="1"/>
  <c r="AN51" i="1"/>
  <c r="AM51" i="1"/>
  <c r="AO50" i="1"/>
  <c r="AN50" i="1"/>
  <c r="AM50" i="1"/>
  <c r="AO49" i="1"/>
  <c r="AN49" i="1"/>
  <c r="AM49" i="1"/>
  <c r="AO48" i="1"/>
  <c r="AN48" i="1"/>
  <c r="AM48" i="1"/>
  <c r="AO47" i="1"/>
  <c r="AN47" i="1"/>
  <c r="AN52" i="1" s="1"/>
  <c r="AM47" i="1"/>
  <c r="AM52" i="1" s="1"/>
  <c r="AP52" i="1" s="1"/>
  <c r="AO45" i="1"/>
  <c r="AN45" i="1"/>
  <c r="AM45" i="1"/>
  <c r="AO44" i="1"/>
  <c r="AN44" i="1"/>
  <c r="AM44" i="1"/>
  <c r="AO43" i="1"/>
  <c r="AN43" i="1"/>
  <c r="AM43" i="1"/>
  <c r="AO42" i="1"/>
  <c r="AO46" i="1" s="1"/>
  <c r="AN42" i="1"/>
  <c r="AM42" i="1"/>
  <c r="AO41" i="1"/>
  <c r="AN41" i="1"/>
  <c r="AN46" i="1" s="1"/>
  <c r="AM41" i="1"/>
  <c r="AM46" i="1" s="1"/>
  <c r="AP46" i="1" s="1"/>
  <c r="AO40" i="1"/>
  <c r="AO39" i="1"/>
  <c r="AN39" i="1"/>
  <c r="AM39" i="1"/>
  <c r="AO38" i="1"/>
  <c r="AN38" i="1"/>
  <c r="AM38" i="1"/>
  <c r="S38" i="1"/>
  <c r="AO37" i="1"/>
  <c r="AN37" i="1"/>
  <c r="AM37" i="1"/>
  <c r="T37" i="1"/>
  <c r="S37" i="1"/>
  <c r="AO36" i="1"/>
  <c r="AN36" i="1"/>
  <c r="AM36" i="1"/>
  <c r="T36" i="1"/>
  <c r="S36" i="1"/>
  <c r="AO35" i="1"/>
  <c r="AN35" i="1"/>
  <c r="AN40" i="1" s="1"/>
  <c r="AM35" i="1"/>
  <c r="AM40" i="1" s="1"/>
  <c r="AP40" i="1" s="1"/>
  <c r="AO34" i="1"/>
  <c r="AM34" i="1"/>
  <c r="T34" i="1"/>
  <c r="S34" i="1"/>
  <c r="V11" i="1" s="1"/>
  <c r="AO33" i="1"/>
  <c r="AN33" i="1"/>
  <c r="AM33" i="1"/>
  <c r="V33" i="1"/>
  <c r="S33" i="1"/>
  <c r="V14" i="1" s="1"/>
  <c r="AO32" i="1"/>
  <c r="AN32" i="1"/>
  <c r="AM32" i="1"/>
  <c r="T32" i="1"/>
  <c r="S32" i="1"/>
  <c r="V15" i="1" s="1"/>
  <c r="AO31" i="1"/>
  <c r="AN31" i="1"/>
  <c r="AM31" i="1"/>
  <c r="T31" i="1"/>
  <c r="V8" i="1" s="1"/>
  <c r="S31" i="1"/>
  <c r="V12" i="1" s="1"/>
  <c r="AO30" i="1"/>
  <c r="AN30" i="1"/>
  <c r="AN34" i="1" s="1"/>
  <c r="AM30" i="1"/>
  <c r="T30" i="1"/>
  <c r="V7" i="1" s="1"/>
  <c r="S30" i="1"/>
  <c r="V13" i="1" s="1"/>
  <c r="AB29" i="1"/>
  <c r="AO28" i="1"/>
  <c r="AN28" i="1"/>
  <c r="AM28" i="1"/>
  <c r="AB28" i="1"/>
  <c r="S28" i="1"/>
  <c r="AO27" i="1"/>
  <c r="AN27" i="1"/>
  <c r="AM27" i="1"/>
  <c r="T27" i="1"/>
  <c r="S27" i="1"/>
  <c r="V21" i="1" s="1"/>
  <c r="AO26" i="1"/>
  <c r="AN26" i="1"/>
  <c r="AM26" i="1"/>
  <c r="T26" i="1"/>
  <c r="S26" i="1"/>
  <c r="V20" i="1" s="1"/>
  <c r="AO25" i="1"/>
  <c r="AO29" i="1" s="1"/>
  <c r="AN25" i="1"/>
  <c r="AN29" i="1" s="1"/>
  <c r="AM25" i="1"/>
  <c r="AM29" i="1" s="1"/>
  <c r="AP29" i="1" s="1"/>
  <c r="AB25" i="1"/>
  <c r="T25" i="1"/>
  <c r="S25" i="1"/>
  <c r="AB24" i="1"/>
  <c r="T24" i="1"/>
  <c r="S24" i="1"/>
  <c r="V18" i="1" s="1"/>
  <c r="AO23" i="1"/>
  <c r="AN23" i="1"/>
  <c r="AM23" i="1"/>
  <c r="T23" i="1"/>
  <c r="S23" i="1"/>
  <c r="V17" i="1" s="1"/>
  <c r="AO22" i="1"/>
  <c r="AO24" i="1" s="1"/>
  <c r="AN22" i="1"/>
  <c r="AM22" i="1"/>
  <c r="AB22" i="1"/>
  <c r="V22" i="1"/>
  <c r="AO21" i="1"/>
  <c r="AN21" i="1"/>
  <c r="AM21" i="1"/>
  <c r="T21" i="1"/>
  <c r="V36" i="1" s="1"/>
  <c r="S21" i="1"/>
  <c r="V35" i="1" s="1"/>
  <c r="AO20" i="1"/>
  <c r="AN20" i="1"/>
  <c r="AN24" i="1" s="1"/>
  <c r="AM20" i="1"/>
  <c r="AM24" i="1" s="1"/>
  <c r="AB20" i="1"/>
  <c r="T20" i="1"/>
  <c r="V34" i="1" s="1"/>
  <c r="S20" i="1"/>
  <c r="AO19" i="1"/>
  <c r="V19" i="1"/>
  <c r="T19" i="1"/>
  <c r="V29" i="1" s="1"/>
  <c r="S19" i="1"/>
  <c r="V28" i="1" s="1"/>
  <c r="AO18" i="1"/>
  <c r="AN18" i="1"/>
  <c r="AM18" i="1"/>
  <c r="T18" i="1"/>
  <c r="V30" i="1" s="1"/>
  <c r="S18" i="1"/>
  <c r="V25" i="1" s="1"/>
  <c r="AO17" i="1"/>
  <c r="AN17" i="1"/>
  <c r="AM17" i="1"/>
  <c r="T17" i="1"/>
  <c r="V32" i="1" s="1"/>
  <c r="S17" i="1"/>
  <c r="V24" i="1" s="1"/>
  <c r="AO16" i="1"/>
  <c r="AN16" i="1"/>
  <c r="AN19" i="1" s="1"/>
  <c r="AM16" i="1"/>
  <c r="T16" i="1"/>
  <c r="V31" i="1" s="1"/>
  <c r="S16" i="1"/>
  <c r="V27" i="1" s="1"/>
  <c r="AO15" i="1"/>
  <c r="AN15" i="1"/>
  <c r="AM15" i="1"/>
  <c r="AB15" i="1"/>
  <c r="T15" i="1"/>
  <c r="S15" i="1"/>
  <c r="V26" i="1" s="1"/>
  <c r="AO14" i="1"/>
  <c r="AN14" i="1"/>
  <c r="AM14" i="1"/>
  <c r="AM19" i="1" s="1"/>
  <c r="AB14" i="1"/>
  <c r="AB13" i="1"/>
  <c r="T13" i="1"/>
  <c r="S13" i="1"/>
  <c r="AO12" i="1"/>
  <c r="AN12" i="1"/>
  <c r="AM12" i="1"/>
  <c r="AB12" i="1"/>
  <c r="T12" i="1"/>
  <c r="S12" i="1"/>
  <c r="AO11" i="1"/>
  <c r="AN11" i="1"/>
  <c r="AM11" i="1"/>
  <c r="AB11" i="1"/>
  <c r="T11" i="1"/>
  <c r="S11" i="1"/>
  <c r="AO10" i="1"/>
  <c r="AN10" i="1"/>
  <c r="AM10" i="1"/>
  <c r="V10" i="1"/>
  <c r="T10" i="1"/>
  <c r="S10" i="1"/>
  <c r="AO9" i="1"/>
  <c r="AN9" i="1"/>
  <c r="AM9" i="1"/>
  <c r="AB9" i="1"/>
  <c r="V9" i="1"/>
  <c r="AO8" i="1"/>
  <c r="AN8" i="1"/>
  <c r="AM8" i="1"/>
  <c r="AB8" i="1"/>
  <c r="T8" i="1"/>
  <c r="S8" i="1"/>
  <c r="AO7" i="1"/>
  <c r="AO13" i="1" s="1"/>
  <c r="AN7" i="1"/>
  <c r="AN13" i="1" s="1"/>
  <c r="AM7" i="1"/>
  <c r="AM13" i="1" s="1"/>
  <c r="AP13" i="1" s="1"/>
  <c r="AB7" i="1"/>
  <c r="T7" i="1"/>
  <c r="S7" i="1"/>
  <c r="T5" i="1"/>
  <c r="S5" i="1"/>
  <c r="T4" i="1"/>
  <c r="S4" i="1"/>
  <c r="T3" i="1"/>
  <c r="S3" i="1"/>
  <c r="T2" i="1"/>
  <c r="S2" i="1"/>
  <c r="AP19" i="1" l="1"/>
  <c r="AP58" i="1"/>
  <c r="AP24" i="1"/>
  <c r="AH7" i="1"/>
  <c r="AH20" i="1"/>
  <c r="AH8" i="1"/>
  <c r="AH11" i="1"/>
  <c r="AH39" i="1"/>
  <c r="AH10" i="1"/>
  <c r="AI47" i="1"/>
  <c r="AH12" i="1"/>
  <c r="AI17" i="1"/>
  <c r="AJ18" i="1"/>
  <c r="AI43" i="1"/>
  <c r="AJ32" i="1"/>
  <c r="AH16" i="1"/>
  <c r="AI33" i="1"/>
  <c r="AI22" i="1"/>
  <c r="AH30" i="1"/>
  <c r="AI21" i="1"/>
  <c r="AI55" i="1"/>
  <c r="AI51" i="1"/>
  <c r="AJ9" i="1"/>
  <c r="AP34" i="1"/>
  <c r="AI56" i="1"/>
  <c r="AH22" i="1"/>
  <c r="AJ23" i="1"/>
  <c r="AJ44" i="1"/>
  <c r="AJ48" i="1"/>
  <c r="AJ56" i="1"/>
  <c r="AH21" i="1"/>
  <c r="AJ22" i="1"/>
  <c r="AH33" i="1"/>
  <c r="AH43" i="1"/>
  <c r="AH47" i="1"/>
  <c r="AH51" i="1"/>
  <c r="AH55" i="1"/>
  <c r="AH18" i="1"/>
  <c r="AI20" i="1"/>
  <c r="AJ21" i="1"/>
  <c r="AH32" i="1"/>
  <c r="AJ33" i="1"/>
  <c r="AI39" i="1"/>
  <c r="AJ43" i="1"/>
  <c r="AJ47" i="1"/>
  <c r="AJ51" i="1"/>
  <c r="AJ55" i="1"/>
  <c r="AH17" i="1"/>
  <c r="AI18" i="1"/>
  <c r="AJ20" i="1"/>
  <c r="AH31" i="1"/>
  <c r="AI32" i="1"/>
  <c r="AJ39" i="1"/>
  <c r="AH42" i="1"/>
  <c r="AH54" i="1"/>
  <c r="AI16" i="1"/>
  <c r="AJ17" i="1"/>
  <c r="AI30" i="1"/>
  <c r="AJ31" i="1"/>
  <c r="AH38" i="1"/>
  <c r="AI42" i="1"/>
  <c r="AI50" i="1"/>
  <c r="AI54" i="1"/>
  <c r="AI31" i="1"/>
  <c r="AH50" i="1"/>
  <c r="AH14" i="1"/>
  <c r="AH15" i="1"/>
  <c r="AJ16" i="1"/>
  <c r="AJ30" i="1"/>
  <c r="AI38" i="1"/>
  <c r="AJ42" i="1"/>
  <c r="AJ50" i="1"/>
  <c r="AJ54" i="1"/>
  <c r="AI14" i="1"/>
  <c r="AI15" i="1"/>
  <c r="AJ38" i="1"/>
  <c r="AJ14" i="1"/>
  <c r="AJ15" i="1"/>
  <c r="AH28" i="1"/>
  <c r="AH37" i="1"/>
  <c r="AH41" i="1"/>
  <c r="AH45" i="1"/>
  <c r="AH49" i="1"/>
  <c r="AH53" i="1"/>
  <c r="AH57" i="1"/>
  <c r="AH9" i="1"/>
  <c r="AI11" i="1"/>
  <c r="AH27" i="1"/>
  <c r="AI28" i="1"/>
  <c r="AI37" i="1"/>
  <c r="AI41" i="1"/>
  <c r="AI45" i="1"/>
  <c r="AI49" i="1"/>
  <c r="AI53" i="1"/>
  <c r="AI57" i="1"/>
  <c r="AI10" i="1"/>
  <c r="AI12" i="1"/>
  <c r="AI9" i="1"/>
  <c r="AJ10" i="1"/>
  <c r="AJ11" i="1"/>
  <c r="AJ12" i="1"/>
  <c r="AH26" i="1"/>
  <c r="AI27" i="1"/>
  <c r="AJ28" i="1"/>
  <c r="AH36" i="1"/>
  <c r="AJ37" i="1"/>
  <c r="AJ41" i="1"/>
  <c r="AJ45" i="1"/>
  <c r="AJ49" i="1"/>
  <c r="AJ53" i="1"/>
  <c r="AJ57" i="1"/>
  <c r="AJ27" i="1"/>
  <c r="AH35" i="1"/>
  <c r="AI36" i="1"/>
  <c r="AH25" i="1"/>
  <c r="AI8" i="1"/>
  <c r="AH23" i="1"/>
  <c r="AI25" i="1"/>
  <c r="AJ26" i="1"/>
  <c r="AI35" i="1"/>
  <c r="AJ36" i="1"/>
  <c r="AH44" i="1"/>
  <c r="AH48" i="1"/>
  <c r="AH56" i="1"/>
  <c r="AI26" i="1"/>
  <c r="AI7" i="1"/>
  <c r="AJ7" i="1"/>
  <c r="AJ8" i="1"/>
  <c r="AI23" i="1"/>
  <c r="AJ25" i="1"/>
  <c r="AJ35" i="1"/>
  <c r="AI44" i="1"/>
  <c r="AI48" i="1"/>
  <c r="J8" i="1" l="1"/>
  <c r="AR8" i="1"/>
  <c r="O8" i="1"/>
  <c r="AS8" i="1"/>
  <c r="O27" i="1"/>
  <c r="AS27" i="1"/>
  <c r="AR10" i="1"/>
  <c r="J10" i="1"/>
  <c r="E37" i="1"/>
  <c r="AQ37" i="1"/>
  <c r="AR31" i="1"/>
  <c r="J31" i="1"/>
  <c r="E17" i="1"/>
  <c r="AQ17" i="1"/>
  <c r="O22" i="1"/>
  <c r="AS22" i="1"/>
  <c r="AQ16" i="1"/>
  <c r="E16" i="1"/>
  <c r="O57" i="1"/>
  <c r="AS57" i="1"/>
  <c r="J57" i="1"/>
  <c r="AR57" i="1"/>
  <c r="E28" i="1"/>
  <c r="AQ28" i="1"/>
  <c r="AR54" i="1"/>
  <c r="J54" i="1"/>
  <c r="AS55" i="1"/>
  <c r="O55" i="1"/>
  <c r="E21" i="1"/>
  <c r="AQ21" i="1"/>
  <c r="AS32" i="1"/>
  <c r="O32" i="1"/>
  <c r="O53" i="1"/>
  <c r="AS53" i="1"/>
  <c r="AR53" i="1"/>
  <c r="J53" i="1"/>
  <c r="O15" i="1"/>
  <c r="AS15" i="1"/>
  <c r="AR50" i="1"/>
  <c r="J50" i="1"/>
  <c r="O51" i="1"/>
  <c r="AS51" i="1"/>
  <c r="O56" i="1"/>
  <c r="AS56" i="1"/>
  <c r="AR43" i="1"/>
  <c r="J43" i="1"/>
  <c r="O7" i="1"/>
  <c r="AS7" i="1"/>
  <c r="O49" i="1"/>
  <c r="AS49" i="1"/>
  <c r="J49" i="1"/>
  <c r="AR49" i="1"/>
  <c r="O14" i="1"/>
  <c r="AS14" i="1"/>
  <c r="AR42" i="1"/>
  <c r="J42" i="1"/>
  <c r="AS47" i="1"/>
  <c r="O47" i="1"/>
  <c r="O48" i="1"/>
  <c r="AS48" i="1"/>
  <c r="AS18" i="1"/>
  <c r="O18" i="1"/>
  <c r="J7" i="1"/>
  <c r="AR7" i="1"/>
  <c r="AR13" i="1" s="1"/>
  <c r="O45" i="1"/>
  <c r="AS45" i="1"/>
  <c r="AR45" i="1"/>
  <c r="J45" i="1"/>
  <c r="AS38" i="1"/>
  <c r="O38" i="1"/>
  <c r="AQ38" i="1"/>
  <c r="E38" i="1"/>
  <c r="AS43" i="1"/>
  <c r="O43" i="1"/>
  <c r="O44" i="1"/>
  <c r="AS44" i="1"/>
  <c r="AR17" i="1"/>
  <c r="J17" i="1"/>
  <c r="E56" i="1"/>
  <c r="AQ56" i="1"/>
  <c r="O41" i="1"/>
  <c r="AS41" i="1"/>
  <c r="J41" i="1"/>
  <c r="AR41" i="1"/>
  <c r="AR15" i="1"/>
  <c r="J15" i="1"/>
  <c r="AS31" i="1"/>
  <c r="O31" i="1"/>
  <c r="AR39" i="1"/>
  <c r="J39" i="1"/>
  <c r="O23" i="1"/>
  <c r="AS23" i="1"/>
  <c r="E12" i="1"/>
  <c r="AQ12" i="1"/>
  <c r="AR26" i="1"/>
  <c r="J26" i="1"/>
  <c r="O37" i="1"/>
  <c r="AS37" i="1"/>
  <c r="AR37" i="1"/>
  <c r="J37" i="1"/>
  <c r="AR14" i="1"/>
  <c r="J14" i="1"/>
  <c r="AR30" i="1"/>
  <c r="J30" i="1"/>
  <c r="O33" i="1"/>
  <c r="AS33" i="1"/>
  <c r="E22" i="1"/>
  <c r="AQ22" i="1"/>
  <c r="AR47" i="1"/>
  <c r="J47" i="1"/>
  <c r="E48" i="1"/>
  <c r="AQ48" i="1"/>
  <c r="O36" i="1"/>
  <c r="AS36" i="1"/>
  <c r="AR28" i="1"/>
  <c r="J28" i="1"/>
  <c r="AS54" i="1"/>
  <c r="O54" i="1"/>
  <c r="O17" i="1"/>
  <c r="AS17" i="1"/>
  <c r="E32" i="1"/>
  <c r="AQ32" i="1"/>
  <c r="J56" i="1"/>
  <c r="AR56" i="1"/>
  <c r="E10" i="1"/>
  <c r="AQ10" i="1"/>
  <c r="J48" i="1"/>
  <c r="AR48" i="1"/>
  <c r="E44" i="1"/>
  <c r="AQ44" i="1"/>
  <c r="E36" i="1"/>
  <c r="AQ36" i="1"/>
  <c r="J35" i="1"/>
  <c r="AR35" i="1"/>
  <c r="O28" i="1"/>
  <c r="AS28" i="1"/>
  <c r="E27" i="1"/>
  <c r="AQ27" i="1"/>
  <c r="AS50" i="1"/>
  <c r="O50" i="1"/>
  <c r="AR16" i="1"/>
  <c r="J16" i="1"/>
  <c r="O21" i="1"/>
  <c r="AS21" i="1"/>
  <c r="AQ39" i="1"/>
  <c r="E39" i="1"/>
  <c r="O26" i="1"/>
  <c r="AS26" i="1"/>
  <c r="J27" i="1"/>
  <c r="AR27" i="1"/>
  <c r="AR11" i="1"/>
  <c r="J11" i="1"/>
  <c r="AS42" i="1"/>
  <c r="O42" i="1"/>
  <c r="AQ54" i="1"/>
  <c r="E54" i="1"/>
  <c r="J20" i="1"/>
  <c r="AR20" i="1"/>
  <c r="O9" i="1"/>
  <c r="AS9" i="1"/>
  <c r="AQ11" i="1"/>
  <c r="E11" i="1"/>
  <c r="J25" i="1"/>
  <c r="AR25" i="1"/>
  <c r="E26" i="1"/>
  <c r="AQ26" i="1"/>
  <c r="E9" i="1"/>
  <c r="AQ9" i="1"/>
  <c r="AR38" i="1"/>
  <c r="J38" i="1"/>
  <c r="AQ42" i="1"/>
  <c r="E42" i="1"/>
  <c r="E18" i="1"/>
  <c r="AQ18" i="1"/>
  <c r="AR51" i="1"/>
  <c r="J51" i="1"/>
  <c r="AQ8" i="1"/>
  <c r="E8" i="1"/>
  <c r="E23" i="1"/>
  <c r="AQ23" i="1"/>
  <c r="O12" i="1"/>
  <c r="AS12" i="1"/>
  <c r="E57" i="1"/>
  <c r="AQ57" i="1"/>
  <c r="AS30" i="1"/>
  <c r="O30" i="1"/>
  <c r="AS39" i="1"/>
  <c r="O39" i="1"/>
  <c r="E55" i="1"/>
  <c r="AQ55" i="1"/>
  <c r="AR55" i="1"/>
  <c r="J55" i="1"/>
  <c r="E20" i="1"/>
  <c r="AQ20" i="1"/>
  <c r="J44" i="1"/>
  <c r="AR44" i="1"/>
  <c r="O11" i="1"/>
  <c r="AS11" i="1"/>
  <c r="E53" i="1"/>
  <c r="AQ53" i="1"/>
  <c r="AS16" i="1"/>
  <c r="O16" i="1"/>
  <c r="J32" i="1"/>
  <c r="AR32" i="1"/>
  <c r="E51" i="1"/>
  <c r="AQ51" i="1"/>
  <c r="J21" i="1"/>
  <c r="AR21" i="1"/>
  <c r="AQ7" i="1"/>
  <c r="E7" i="1"/>
  <c r="O35" i="1"/>
  <c r="AS35" i="1"/>
  <c r="AQ25" i="1"/>
  <c r="E25" i="1"/>
  <c r="O10" i="1"/>
  <c r="AS10" i="1"/>
  <c r="E49" i="1"/>
  <c r="AQ49" i="1"/>
  <c r="AQ15" i="1"/>
  <c r="E15" i="1"/>
  <c r="E31" i="1"/>
  <c r="AQ31" i="1"/>
  <c r="E47" i="1"/>
  <c r="E52" i="1" s="1"/>
  <c r="AQ47" i="1"/>
  <c r="AQ52" i="1" s="1"/>
  <c r="AQ30" i="1"/>
  <c r="E30" i="1"/>
  <c r="O25" i="1"/>
  <c r="AS25" i="1"/>
  <c r="AR36" i="1"/>
  <c r="J36" i="1"/>
  <c r="J9" i="1"/>
  <c r="AR9" i="1"/>
  <c r="E45" i="1"/>
  <c r="AQ45" i="1"/>
  <c r="AQ14" i="1"/>
  <c r="E14" i="1"/>
  <c r="O20" i="1"/>
  <c r="AS20" i="1"/>
  <c r="E43" i="1"/>
  <c r="AQ43" i="1"/>
  <c r="J22" i="1"/>
  <c r="AR22" i="1"/>
  <c r="J23" i="1"/>
  <c r="AR23" i="1"/>
  <c r="AQ35" i="1"/>
  <c r="E35" i="1"/>
  <c r="AR12" i="1"/>
  <c r="J12" i="1"/>
  <c r="E41" i="1"/>
  <c r="AQ41" i="1"/>
  <c r="E50" i="1"/>
  <c r="AQ50" i="1"/>
  <c r="J18" i="1"/>
  <c r="AR18" i="1"/>
  <c r="E33" i="1"/>
  <c r="AQ33" i="1"/>
  <c r="J33" i="1"/>
  <c r="AR33" i="1"/>
  <c r="J13" i="1" l="1"/>
  <c r="E40" i="1"/>
  <c r="E29" i="1"/>
  <c r="AS13" i="1"/>
  <c r="AS24" i="1"/>
  <c r="AR52" i="1"/>
  <c r="O52" i="1"/>
  <c r="O13" i="1"/>
  <c r="J52" i="1"/>
  <c r="B52" i="1" s="1"/>
  <c r="AS34" i="1"/>
  <c r="AS52" i="1"/>
  <c r="AT52" i="1" s="1"/>
  <c r="O24" i="1"/>
  <c r="J34" i="1"/>
  <c r="J24" i="1"/>
  <c r="E58" i="1"/>
  <c r="B58" i="1" s="1"/>
  <c r="AR34" i="1"/>
  <c r="AQ58" i="1"/>
  <c r="AR19" i="1"/>
  <c r="O19" i="1"/>
  <c r="AR24" i="1"/>
  <c r="AS19" i="1"/>
  <c r="AS40" i="1"/>
  <c r="AR29" i="1"/>
  <c r="AR46" i="1"/>
  <c r="J58" i="1"/>
  <c r="E19" i="1"/>
  <c r="AQ40" i="1"/>
  <c r="J29" i="1"/>
  <c r="J46" i="1"/>
  <c r="AR58" i="1"/>
  <c r="O34" i="1"/>
  <c r="E46" i="1"/>
  <c r="B46" i="1" s="1"/>
  <c r="AR40" i="1"/>
  <c r="J19" i="1"/>
  <c r="AQ29" i="1"/>
  <c r="AS29" i="1"/>
  <c r="O40" i="1"/>
  <c r="E34" i="1"/>
  <c r="E13" i="1"/>
  <c r="AQ24" i="1"/>
  <c r="AT24" i="1" s="1"/>
  <c r="AS46" i="1"/>
  <c r="AS58" i="1"/>
  <c r="AQ19" i="1"/>
  <c r="AQ46" i="1"/>
  <c r="AT46" i="1" s="1"/>
  <c r="J40" i="1"/>
  <c r="O29" i="1"/>
  <c r="AQ34" i="1"/>
  <c r="AQ13" i="1"/>
  <c r="AT13" i="1" s="1"/>
  <c r="E24" i="1"/>
  <c r="O46" i="1"/>
  <c r="O58" i="1"/>
  <c r="B13" i="1" l="1"/>
  <c r="AT34" i="1"/>
  <c r="AT58" i="1"/>
  <c r="AT40" i="1"/>
  <c r="AT19" i="1"/>
  <c r="B19" i="1"/>
  <c r="AT29" i="1"/>
</calcChain>
</file>

<file path=xl/sharedStrings.xml><?xml version="1.0" encoding="utf-8"?>
<sst xmlns="http://schemas.openxmlformats.org/spreadsheetml/2006/main" count="483" uniqueCount="95">
  <si>
    <t>DAILY MACHINE REPORT LEADER CONTROL</t>
  </si>
  <si>
    <t>DATE :</t>
  </si>
  <si>
    <r>
      <rPr>
        <sz val="10"/>
        <color rgb="FF008000"/>
        <rFont val="Calibri"/>
        <family val="2"/>
      </rPr>
      <t>☛ :  WIP JVK &amp; RH</t>
    </r>
  </si>
  <si>
    <r>
      <rPr>
        <sz val="10"/>
        <color rgb="FF0033CC"/>
        <rFont val="Calibri"/>
        <family val="2"/>
      </rPr>
      <t>☛ :  Stock parent diurai</t>
    </r>
  </si>
  <si>
    <r>
      <rPr>
        <sz val="10"/>
        <color rgb="FFFF00FF"/>
        <rFont val="Calibri"/>
        <family val="2"/>
      </rPr>
      <t>☛ :  N.G. Stock</t>
    </r>
  </si>
  <si>
    <t>D</t>
  </si>
  <si>
    <t>I</t>
  </si>
  <si>
    <t>N</t>
  </si>
  <si>
    <t>M</t>
  </si>
  <si>
    <r>
      <t>SHIFT 01 _</t>
    </r>
    <r>
      <rPr>
        <b/>
        <sz val="11"/>
        <color theme="9" tint="-0.249977111117893"/>
        <rFont val="Calibri"/>
        <family val="2"/>
      </rPr>
      <t xml:space="preserve"> </t>
    </r>
    <r>
      <rPr>
        <sz val="10"/>
        <color theme="0" tint="-0.499984740745262"/>
        <rFont val="Calibri"/>
        <family val="2"/>
      </rPr>
      <t>[</t>
    </r>
    <r>
      <rPr>
        <sz val="8"/>
        <color theme="0" tint="-0.499984740745262"/>
        <rFont val="Calibri"/>
        <family val="2"/>
      </rPr>
      <t>458 / 418</t>
    </r>
    <r>
      <rPr>
        <sz val="10"/>
        <color theme="0" tint="-0.499984740745262"/>
        <rFont val="Calibri"/>
        <family val="2"/>
      </rPr>
      <t>]</t>
    </r>
  </si>
  <si>
    <r>
      <t>SHIFT 02 _</t>
    </r>
    <r>
      <rPr>
        <b/>
        <sz val="11"/>
        <color theme="9" tint="-0.249977111117893"/>
        <rFont val="Calibri"/>
        <family val="2"/>
      </rPr>
      <t xml:space="preserve"> </t>
    </r>
    <r>
      <rPr>
        <sz val="10"/>
        <color theme="0" tint="-0.499984740745262"/>
        <rFont val="Calibri"/>
        <family val="2"/>
      </rPr>
      <t>[</t>
    </r>
    <r>
      <rPr>
        <sz val="8"/>
        <color theme="0" tint="-0.499984740745262"/>
        <rFont val="Calibri"/>
        <family val="2"/>
      </rPr>
      <t>856 / 816</t>
    </r>
    <r>
      <rPr>
        <sz val="10"/>
        <color theme="0" tint="-0.499984740745262"/>
        <rFont val="Calibri"/>
        <family val="2"/>
      </rPr>
      <t>]</t>
    </r>
  </si>
  <si>
    <t>[398] - [210+188]</t>
  </si>
  <si>
    <r>
      <t>SHIFT 03 _</t>
    </r>
    <r>
      <rPr>
        <b/>
        <sz val="11"/>
        <color theme="9" tint="-0.249977111117893"/>
        <rFont val="Calibri"/>
        <family val="2"/>
      </rPr>
      <t xml:space="preserve"> </t>
    </r>
    <r>
      <rPr>
        <sz val="10"/>
        <color theme="0" tint="-0.499984740745262"/>
        <rFont val="Calibri"/>
        <family val="2"/>
      </rPr>
      <t>[</t>
    </r>
    <r>
      <rPr>
        <sz val="8"/>
        <color theme="0" tint="-0.499984740745262"/>
        <rFont val="Calibri"/>
        <family val="2"/>
      </rPr>
      <t>1254 / 1214</t>
    </r>
    <r>
      <rPr>
        <sz val="10"/>
        <color theme="0" tint="-0.499984740745262"/>
        <rFont val="Calibri"/>
        <family val="2"/>
      </rPr>
      <t>]</t>
    </r>
  </si>
  <si>
    <t>[398]</t>
  </si>
  <si>
    <t>SHIFT</t>
  </si>
  <si>
    <t>Qty. Prod</t>
  </si>
  <si>
    <t>PT</t>
  </si>
  <si>
    <t>C</t>
  </si>
  <si>
    <r>
      <t xml:space="preserve">MODEL </t>
    </r>
    <r>
      <rPr>
        <sz val="10"/>
        <color indexed="8"/>
        <rFont val="Calibri"/>
        <family val="2"/>
      </rPr>
      <t xml:space="preserve"> [</t>
    </r>
    <r>
      <rPr>
        <sz val="9"/>
        <color indexed="8"/>
        <rFont val="Calibri"/>
        <family val="2"/>
      </rPr>
      <t>TYPE PCB</t>
    </r>
    <r>
      <rPr>
        <sz val="10"/>
        <color indexed="8"/>
        <rFont val="Calibri"/>
        <family val="2"/>
      </rPr>
      <t>]</t>
    </r>
  </si>
  <si>
    <t>mnt</t>
  </si>
  <si>
    <t>PLAN</t>
  </si>
  <si>
    <t>RESULT</t>
  </si>
  <si>
    <t>MODEL</t>
  </si>
  <si>
    <t>EYELET</t>
  </si>
  <si>
    <t>JVK2</t>
  </si>
  <si>
    <t>JVK3</t>
  </si>
  <si>
    <t>AVK</t>
  </si>
  <si>
    <t>RH</t>
  </si>
  <si>
    <t>MSH (1)</t>
  </si>
  <si>
    <t>MSH (3)</t>
  </si>
  <si>
    <t>CM</t>
  </si>
  <si>
    <t>"1</t>
  </si>
  <si>
    <t>"2</t>
  </si>
  <si>
    <t>"3</t>
  </si>
  <si>
    <t>Shift 1</t>
  </si>
  <si>
    <t>Shift 2</t>
  </si>
  <si>
    <t>Shift 3</t>
  </si>
  <si>
    <t>Total</t>
  </si>
  <si>
    <t>J</t>
  </si>
  <si>
    <t>1.</t>
  </si>
  <si>
    <t>xxx</t>
  </si>
  <si>
    <t>V</t>
  </si>
  <si>
    <t>2.</t>
  </si>
  <si>
    <t>K</t>
  </si>
  <si>
    <t>3.</t>
  </si>
  <si>
    <t>02</t>
  </si>
  <si>
    <t>4.</t>
  </si>
  <si>
    <t>5.</t>
  </si>
  <si>
    <t>6.</t>
  </si>
  <si>
    <t>03</t>
  </si>
  <si>
    <t>A</t>
  </si>
  <si>
    <t>3,</t>
  </si>
  <si>
    <t>4,</t>
  </si>
  <si>
    <t>01</t>
  </si>
  <si>
    <t>04</t>
  </si>
  <si>
    <t>ACXA73-37130</t>
  </si>
  <si>
    <t>LED-22280 [ACXE39C01000ID]</t>
  </si>
  <si>
    <t>LED-44600 (ACXE39C01500)</t>
  </si>
  <si>
    <t>RF-NA35R-S &lt;A&gt;</t>
  </si>
  <si>
    <t>S</t>
  </si>
  <si>
    <t>RF-NA35R-S &lt;B&gt;</t>
  </si>
  <si>
    <t>RF-D10 [KEY/SUB-MAIN]</t>
  </si>
  <si>
    <t>T</t>
  </si>
  <si>
    <t>RF-D10 &lt;A&gt; [MAIN]</t>
  </si>
  <si>
    <t>RF-D10 &lt;B&gt; [MAIN]</t>
  </si>
  <si>
    <t>5</t>
  </si>
  <si>
    <t>5,</t>
  </si>
  <si>
    <t>RF-U156-S</t>
  </si>
  <si>
    <t>RF-5270LJK</t>
  </si>
  <si>
    <t>RF-562DD2GCK1</t>
  </si>
  <si>
    <t>ACXA73-50470</t>
  </si>
  <si>
    <t>ACXA73-50480</t>
  </si>
  <si>
    <t xml:space="preserve">LED-49380 </t>
  </si>
  <si>
    <t>ACXA73-52800</t>
  </si>
  <si>
    <t>ACXA73-52810</t>
  </si>
  <si>
    <t>LED-49390</t>
  </si>
  <si>
    <t>1st_ACXA73-50110</t>
  </si>
  <si>
    <t>2nd_ACXA73-50110</t>
  </si>
  <si>
    <t>1st_ACXA73-50120</t>
  </si>
  <si>
    <t>2nd_ACXA73-50120</t>
  </si>
  <si>
    <t>NOTE :</t>
  </si>
  <si>
    <t>ACXA73-48700</t>
  </si>
  <si>
    <t>ACXA73-53420</t>
  </si>
  <si>
    <t>ACXA73-52820</t>
  </si>
  <si>
    <t>ACXA73-52830</t>
  </si>
  <si>
    <t>ACXA73-51410</t>
  </si>
  <si>
    <t>LED-51390</t>
  </si>
  <si>
    <t>LED-51400</t>
  </si>
  <si>
    <t>ARBGBA301650</t>
  </si>
  <si>
    <t>BG-213400</t>
  </si>
  <si>
    <t>Change Model</t>
  </si>
  <si>
    <t>Trouble</t>
  </si>
  <si>
    <t>SMT (1)</t>
  </si>
  <si>
    <t>SMT (3)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</si>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</sst>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0.000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indexed="8"/>
      <name val="Calibri"/>
      <family val="2"/>
    </font>
    <font>
      <b/>
      <sz val="20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8"/>
      <color indexed="8"/>
      <name val="Calibri"/>
      <family val="2"/>
    </font>
    <font>
      <sz val="11"/>
      <color indexed="8"/>
      <name val="Calibri"/>
      <family val="2"/>
    </font>
    <font>
      <b/>
      <u/>
      <sz val="16"/>
      <name val="Calibri"/>
      <family val="2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10"/>
      <name val="Calibri"/>
      <family val="2"/>
    </font>
    <font>
      <sz val="10"/>
      <color rgb="FF008000"/>
      <name val="Arial Narrow"/>
      <family val="2"/>
    </font>
    <font>
      <sz val="10"/>
      <color rgb="FF008000"/>
      <name val="Calibri"/>
      <family val="2"/>
    </font>
    <font>
      <sz val="10"/>
      <color rgb="FF0033CC"/>
      <name val="Arial Narrow"/>
      <family val="2"/>
    </font>
    <font>
      <sz val="10"/>
      <color rgb="FF0033CC"/>
      <name val="Calibri"/>
      <family val="2"/>
    </font>
    <font>
      <sz val="10"/>
      <color rgb="FFFF00FF"/>
      <name val="Arial Narrow"/>
      <family val="2"/>
    </font>
    <font>
      <sz val="10"/>
      <color rgb="FFFF00FF"/>
      <name val="Calibri"/>
      <family val="2"/>
    </font>
    <font>
      <b/>
      <sz val="11"/>
      <name val="Calibri"/>
      <family val="2"/>
    </font>
    <font>
      <b/>
      <sz val="10"/>
      <color indexed="8"/>
      <name val="Calibri"/>
      <family val="2"/>
    </font>
    <font>
      <b/>
      <sz val="11"/>
      <color theme="9" tint="-0.249977111117893"/>
      <name val="Calibri"/>
      <family val="2"/>
    </font>
    <font>
      <sz val="10"/>
      <color theme="0" tint="-0.499984740745262"/>
      <name val="Calibri"/>
      <family val="2"/>
    </font>
    <font>
      <sz val="8"/>
      <color theme="0" tint="-0.499984740745262"/>
      <name val="Calibri"/>
      <family val="2"/>
    </font>
    <font>
      <b/>
      <sz val="11"/>
      <color indexed="8"/>
      <name val="Calibri"/>
      <family val="2"/>
    </font>
    <font>
      <sz val="7"/>
      <color theme="9" tint="-0.249977111117893"/>
      <name val="Calibri"/>
      <family val="2"/>
    </font>
    <font>
      <i/>
      <sz val="9"/>
      <name val="Calibri"/>
      <family val="2"/>
    </font>
    <font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Calibri"/>
      <family val="2"/>
    </font>
    <font>
      <b/>
      <sz val="10"/>
      <color rgb="FFFF00FF"/>
      <name val="Calibri"/>
      <family val="2"/>
    </font>
    <font>
      <b/>
      <sz val="10"/>
      <color rgb="FF0000FF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indexed="8"/>
      <name val="Tw Cen MT Condensed"/>
      <family val="2"/>
    </font>
    <font>
      <sz val="6"/>
      <color indexed="8"/>
      <name val="Tw Cen MT Condensed"/>
      <family val="2"/>
    </font>
    <font>
      <sz val="7"/>
      <color rgb="FF0033CC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0033CC"/>
      <name val="Calibri"/>
      <family val="2"/>
      <scheme val="minor"/>
    </font>
    <font>
      <sz val="6"/>
      <name val="Tw Cen MT Condensed"/>
      <family val="2"/>
    </font>
    <font>
      <sz val="8"/>
      <color rgb="FF0033CC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rgb="FF0000FF"/>
      <name val="Calibri"/>
      <family val="2"/>
      <scheme val="minor"/>
    </font>
    <font>
      <sz val="6"/>
      <color indexed="8"/>
      <name val="Agency FB"/>
      <family val="2"/>
    </font>
    <font>
      <b/>
      <sz val="7"/>
      <color theme="9" tint="-0.249977111117893"/>
      <name val="Arial Narrow"/>
      <family val="2"/>
    </font>
    <font>
      <sz val="9"/>
      <color rgb="FFFF0000"/>
      <name val="Calibri"/>
      <family val="2"/>
      <scheme val="minor"/>
    </font>
    <font>
      <sz val="9"/>
      <color theme="6" tint="-0.499984740745262"/>
      <name val="Calibri"/>
      <family val="2"/>
      <scheme val="minor"/>
    </font>
    <font>
      <sz val="10"/>
      <color rgb="FFFF00FF"/>
      <name val="Calibri"/>
      <family val="2"/>
      <scheme val="minor"/>
    </font>
    <font>
      <sz val="8"/>
      <color rgb="FF008000"/>
      <name val="Calibri"/>
      <family val="2"/>
      <scheme val="minor"/>
    </font>
    <font>
      <sz val="7"/>
      <color theme="9" tint="-0.249977111117893"/>
      <name val="Calibri"/>
      <family val="2"/>
      <scheme val="minor"/>
    </font>
    <font>
      <sz val="11"/>
      <color theme="1"/>
      <name val="Tw Cen MT Condensed"/>
      <family val="2"/>
    </font>
    <font>
      <sz val="11"/>
      <color rgb="FF0000FF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008000"/>
      <name val="Tw Cen MT Condensed"/>
      <family val="2"/>
    </font>
    <font>
      <b/>
      <sz val="10"/>
      <color indexed="10"/>
      <name val="Calibri"/>
      <family val="2"/>
    </font>
    <font>
      <sz val="8"/>
      <color rgb="FF0066FF"/>
      <name val="Calibri"/>
      <family val="2"/>
      <scheme val="minor"/>
    </font>
    <font>
      <sz val="8"/>
      <color rgb="FFFF0000"/>
      <name val="Calibri"/>
      <family val="2"/>
    </font>
    <font>
      <sz val="12"/>
      <color rgb="FFFF0000"/>
      <name val="Calibri"/>
      <family val="2"/>
    </font>
    <font>
      <sz val="9"/>
      <color rgb="FF0000FF"/>
      <name val="Calibri"/>
      <family val="2"/>
      <scheme val="minor"/>
    </font>
    <font>
      <b/>
      <sz val="10"/>
      <color indexed="12"/>
      <name val="Calibri"/>
      <family val="2"/>
    </font>
    <font>
      <sz val="9"/>
      <color indexed="12"/>
      <name val="Calibri"/>
      <family val="2"/>
    </font>
    <font>
      <b/>
      <sz val="8"/>
      <color theme="9" tint="-0.249977111117893"/>
      <name val="Arial Narrow"/>
      <family val="2"/>
    </font>
    <font>
      <sz val="9"/>
      <color rgb="FFFF0000"/>
      <name val="Calibri"/>
      <family val="2"/>
    </font>
    <font>
      <sz val="7"/>
      <color theme="0" tint="-0.34998626667073579"/>
      <name val="Calibri"/>
      <family val="2"/>
      <scheme val="minor"/>
    </font>
    <font>
      <sz val="10"/>
      <color indexed="8"/>
      <name val="Tw Cen MT Condensed"/>
      <family val="2"/>
    </font>
    <font>
      <sz val="11"/>
      <name val="Tw Cen MT Condensed"/>
      <family val="2"/>
    </font>
    <font>
      <sz val="8"/>
      <color indexed="12"/>
      <name val="Calibri"/>
      <family val="2"/>
      <scheme val="minor"/>
    </font>
    <font>
      <sz val="8"/>
      <color rgb="FFFF00FF"/>
      <name val="Calibri"/>
      <family val="2"/>
      <scheme val="minor"/>
    </font>
    <font>
      <b/>
      <sz val="8"/>
      <color rgb="FFFF00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</fills>
  <borders count="1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dashed">
        <color theme="9" tint="-0.24994659260841701"/>
      </right>
      <top style="dashed">
        <color theme="9" tint="-0.24994659260841701"/>
      </top>
      <bottom style="hair">
        <color theme="9" tint="-0.24994659260841701"/>
      </bottom>
      <diagonal/>
    </border>
    <border>
      <left style="dashed">
        <color theme="9" tint="-0.24994659260841701"/>
      </left>
      <right style="dashed">
        <color theme="9" tint="-0.24994659260841701"/>
      </right>
      <top style="dashed">
        <color theme="9" tint="-0.24994659260841701"/>
      </top>
      <bottom style="hair">
        <color theme="9" tint="-0.24994659260841701"/>
      </bottom>
      <diagonal/>
    </border>
    <border>
      <left style="thin">
        <color auto="1"/>
      </left>
      <right style="dashed">
        <color theme="9" tint="-0.24994659260841701"/>
      </right>
      <top style="hair">
        <color theme="9" tint="-0.24994659260841701"/>
      </top>
      <bottom style="hair">
        <color theme="9" tint="-0.24994659260841701"/>
      </bottom>
      <diagonal/>
    </border>
    <border>
      <left style="dashed">
        <color theme="9" tint="-0.24994659260841701"/>
      </left>
      <right style="dashed">
        <color theme="9" tint="-0.24994659260841701"/>
      </right>
      <top style="hair">
        <color theme="9" tint="-0.24994659260841701"/>
      </top>
      <bottom style="hair">
        <color theme="9" tint="-0.2499465926084170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8000"/>
      </left>
      <right style="thin">
        <color indexed="64"/>
      </right>
      <top style="thin">
        <color indexed="64"/>
      </top>
      <bottom style="thick">
        <color rgb="FF008000"/>
      </bottom>
      <diagonal/>
    </border>
    <border>
      <left/>
      <right style="hair">
        <color indexed="64"/>
      </right>
      <top style="thin">
        <color indexed="64"/>
      </top>
      <bottom style="thick">
        <color rgb="FF008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rgb="FF008000"/>
      </bottom>
      <diagonal/>
    </border>
    <border>
      <left style="hair">
        <color indexed="64"/>
      </left>
      <right style="thick">
        <color rgb="FF008000"/>
      </right>
      <top style="thin">
        <color indexed="64"/>
      </top>
      <bottom style="thick">
        <color rgb="FF008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ck">
        <color indexed="10"/>
      </top>
      <bottom/>
      <diagonal/>
    </border>
    <border>
      <left style="thin">
        <color indexed="64"/>
      </left>
      <right/>
      <top style="thick">
        <color indexed="10"/>
      </top>
      <bottom style="hair">
        <color indexed="64"/>
      </bottom>
      <diagonal/>
    </border>
    <border>
      <left/>
      <right/>
      <top style="thick">
        <color indexed="10"/>
      </top>
      <bottom/>
      <diagonal/>
    </border>
    <border>
      <left style="thin">
        <color indexed="64"/>
      </left>
      <right style="hair">
        <color indexed="64"/>
      </right>
      <top style="thick">
        <color indexed="10"/>
      </top>
      <bottom style="hair">
        <color indexed="64"/>
      </bottom>
      <diagonal/>
    </border>
    <border>
      <left/>
      <right style="double">
        <color indexed="64"/>
      </right>
      <top style="thick">
        <color indexed="10"/>
      </top>
      <bottom style="hair">
        <color indexed="64"/>
      </bottom>
      <diagonal/>
    </border>
    <border>
      <left style="double">
        <color indexed="64"/>
      </left>
      <right/>
      <top style="thick">
        <color indexed="10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10"/>
      </top>
      <bottom style="hair">
        <color indexed="64"/>
      </bottom>
      <diagonal/>
    </border>
    <border>
      <left style="thick">
        <color rgb="FF008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ck">
        <color rgb="FF008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10"/>
      </top>
      <bottom style="thin">
        <color indexed="64"/>
      </bottom>
      <diagonal/>
    </border>
    <border>
      <left/>
      <right/>
      <top style="hair">
        <color indexed="10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1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10"/>
      </top>
      <bottom style="thin">
        <color indexed="64"/>
      </bottom>
      <diagonal/>
    </border>
    <border>
      <left/>
      <right style="double">
        <color indexed="64"/>
      </right>
      <top style="hair">
        <color indexed="10"/>
      </top>
      <bottom style="thin">
        <color indexed="64"/>
      </bottom>
      <diagonal/>
    </border>
    <border>
      <left style="double">
        <color indexed="64"/>
      </left>
      <right/>
      <top style="hair">
        <color indexed="10"/>
      </top>
      <bottom style="thin">
        <color indexed="64"/>
      </bottom>
      <diagonal/>
    </border>
    <border>
      <left/>
      <right style="hair">
        <color indexed="64"/>
      </right>
      <top style="hair">
        <color indexed="10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hair">
        <color theme="9" tint="-0.24994659260841701"/>
      </top>
      <bottom style="hair">
        <color theme="9" tint="-0.24994659260841701"/>
      </bottom>
      <diagonal/>
    </border>
    <border>
      <left style="dotted">
        <color theme="9" tint="-0.24994659260841701"/>
      </left>
      <right style="dashed">
        <color theme="9" tint="-0.24994659260841701"/>
      </right>
      <top style="hair">
        <color theme="9" tint="-0.24994659260841701"/>
      </top>
      <bottom style="hair">
        <color theme="9" tint="-0.24994659260841701"/>
      </bottom>
      <diagonal/>
    </border>
    <border>
      <left style="thin">
        <color indexed="64"/>
      </left>
      <right/>
      <top style="hair">
        <color indexed="10"/>
      </top>
      <bottom/>
      <diagonal/>
    </border>
    <border>
      <left/>
      <right/>
      <top style="hair">
        <color indexed="10"/>
      </top>
      <bottom/>
      <diagonal/>
    </border>
    <border>
      <left style="hair">
        <color indexed="64"/>
      </left>
      <right style="thin">
        <color indexed="64"/>
      </right>
      <top style="hair">
        <color indexed="10"/>
      </top>
      <bottom/>
      <diagonal/>
    </border>
    <border>
      <left style="thin">
        <color indexed="64"/>
      </left>
      <right style="hair">
        <color indexed="64"/>
      </right>
      <top style="hair">
        <color indexed="10"/>
      </top>
      <bottom/>
      <diagonal/>
    </border>
    <border>
      <left/>
      <right style="double">
        <color indexed="64"/>
      </right>
      <top style="hair">
        <color indexed="10"/>
      </top>
      <bottom/>
      <diagonal/>
    </border>
    <border>
      <left style="double">
        <color indexed="64"/>
      </left>
      <right/>
      <top style="hair">
        <color indexed="10"/>
      </top>
      <bottom/>
      <diagonal/>
    </border>
    <border>
      <left/>
      <right style="hair">
        <color indexed="64"/>
      </right>
      <top style="hair">
        <color indexed="10"/>
      </top>
      <bottom/>
      <diagonal/>
    </border>
    <border>
      <left style="thin">
        <color indexed="64"/>
      </left>
      <right/>
      <top style="hair">
        <color indexed="64"/>
      </top>
      <bottom style="thick">
        <color indexed="10"/>
      </bottom>
      <diagonal/>
    </border>
    <border>
      <left/>
      <right/>
      <top style="hair">
        <color indexed="64"/>
      </top>
      <bottom style="thick">
        <color indexed="1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10"/>
      </bottom>
      <diagonal/>
    </border>
    <border>
      <left/>
      <right style="thin">
        <color indexed="64"/>
      </right>
      <top style="hair">
        <color indexed="64"/>
      </top>
      <bottom style="thick">
        <color indexed="10"/>
      </bottom>
      <diagonal/>
    </border>
    <border>
      <left style="hair">
        <color indexed="64"/>
      </left>
      <right style="thin">
        <color indexed="64"/>
      </right>
      <top style="mediumDashed">
        <color rgb="FFFF0000"/>
      </top>
      <bottom/>
      <diagonal/>
    </border>
    <border>
      <left style="thin">
        <color indexed="64"/>
      </left>
      <right/>
      <top style="mediumDashed">
        <color rgb="FFFF0000"/>
      </top>
      <bottom style="hair">
        <color indexed="64"/>
      </bottom>
      <diagonal/>
    </border>
    <border>
      <left/>
      <right/>
      <top style="mediumDashed">
        <color rgb="FFFF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Dashed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Dashed">
        <color rgb="FFFF0000"/>
      </top>
      <bottom style="hair">
        <color indexed="64"/>
      </bottom>
      <diagonal/>
    </border>
    <border>
      <left/>
      <right style="double">
        <color indexed="64"/>
      </right>
      <top style="mediumDashed">
        <color rgb="FFFF0000"/>
      </top>
      <bottom style="hair">
        <color indexed="64"/>
      </bottom>
      <diagonal/>
    </border>
    <border>
      <left style="double">
        <color indexed="64"/>
      </left>
      <right/>
      <top style="mediumDashed">
        <color rgb="FFFF0000"/>
      </top>
      <bottom style="hair">
        <color indexed="64"/>
      </bottom>
      <diagonal/>
    </border>
    <border>
      <left/>
      <right style="hair">
        <color indexed="64"/>
      </right>
      <top style="mediumDashed">
        <color rgb="FFFF0000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mediumDashed">
        <color rgb="FFFF0000"/>
      </bottom>
      <diagonal/>
    </border>
    <border>
      <left style="thin">
        <color indexed="64"/>
      </left>
      <right/>
      <top style="hair">
        <color indexed="10"/>
      </top>
      <bottom style="mediumDashed">
        <color rgb="FFFF0000"/>
      </bottom>
      <diagonal/>
    </border>
    <border>
      <left/>
      <right/>
      <top style="hair">
        <color indexed="10"/>
      </top>
      <bottom style="mediumDashed">
        <color rgb="FFFF0000"/>
      </bottom>
      <diagonal/>
    </border>
    <border>
      <left style="hair">
        <color indexed="64"/>
      </left>
      <right style="thin">
        <color indexed="64"/>
      </right>
      <top style="hair">
        <color indexed="10"/>
      </top>
      <bottom style="mediumDashed">
        <color rgb="FFFF0000"/>
      </bottom>
      <diagonal/>
    </border>
    <border>
      <left style="thin">
        <color indexed="64"/>
      </left>
      <right style="hair">
        <color indexed="64"/>
      </right>
      <top style="hair">
        <color indexed="10"/>
      </top>
      <bottom style="mediumDashed">
        <color rgb="FFFF0000"/>
      </bottom>
      <diagonal/>
    </border>
    <border>
      <left/>
      <right style="double">
        <color indexed="64"/>
      </right>
      <top style="hair">
        <color indexed="10"/>
      </top>
      <bottom style="mediumDashed">
        <color rgb="FFFF0000"/>
      </bottom>
      <diagonal/>
    </border>
    <border>
      <left style="double">
        <color indexed="64"/>
      </left>
      <right/>
      <top style="hair">
        <color indexed="10"/>
      </top>
      <bottom style="mediumDashed">
        <color rgb="FFFF0000"/>
      </bottom>
      <diagonal/>
    </border>
    <border>
      <left/>
      <right style="hair">
        <color indexed="64"/>
      </right>
      <top style="hair">
        <color indexed="10"/>
      </top>
      <bottom style="mediumDashed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indexed="10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10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1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10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ashed">
        <color theme="9" tint="-0.24994659260841701"/>
      </left>
      <right/>
      <top style="hair">
        <color theme="9" tint="-0.24994659260841701"/>
      </top>
      <bottom style="hair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10"/>
      </top>
      <bottom/>
      <diagonal/>
    </border>
    <border>
      <left/>
      <right/>
      <top style="mediumDashed">
        <color rgb="FFFF0000"/>
      </top>
      <bottom/>
      <diagonal/>
    </border>
    <border>
      <left style="hair">
        <color indexed="64"/>
      </left>
      <right style="hair">
        <color indexed="64"/>
      </right>
      <top style="mediumDashed">
        <color rgb="FFFF0000"/>
      </top>
      <bottom style="hair">
        <color indexed="64"/>
      </bottom>
      <diagonal/>
    </border>
    <border>
      <left style="thin">
        <color indexed="64"/>
      </left>
      <right/>
      <top style="hair">
        <color theme="9" tint="-0.24994659260841701"/>
      </top>
      <bottom/>
      <diagonal/>
    </border>
    <border>
      <left/>
      <right/>
      <top style="hair">
        <color theme="9" tint="-0.2499465926084170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64"/>
      </top>
      <bottom style="hair">
        <color rgb="FFFF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rgb="FFFF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rgb="FFFF0000"/>
      </bottom>
      <diagonal/>
    </border>
    <border>
      <left/>
      <right style="double">
        <color indexed="64"/>
      </right>
      <top style="hair">
        <color indexed="64"/>
      </top>
      <bottom style="hair">
        <color rgb="FFFF0000"/>
      </bottom>
      <diagonal/>
    </border>
    <border>
      <left style="double">
        <color indexed="64"/>
      </left>
      <right/>
      <top style="hair">
        <color indexed="64"/>
      </top>
      <bottom style="hair">
        <color rgb="FFFF0000"/>
      </bottom>
      <diagonal/>
    </border>
    <border>
      <left style="double">
        <color indexed="64"/>
      </left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1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10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rgb="FFFF0000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ashed">
        <color theme="9" tint="-0.2499465926084170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3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0" fillId="0" borderId="3" xfId="0" applyBorder="1"/>
    <xf numFmtId="0" fontId="5" fillId="0" borderId="4" xfId="0" applyFont="1" applyBorder="1"/>
    <xf numFmtId="0" fontId="5" fillId="0" borderId="0" xfId="0" applyFont="1"/>
    <xf numFmtId="0" fontId="6" fillId="0" borderId="0" xfId="0" applyFont="1"/>
    <xf numFmtId="0" fontId="7" fillId="0" borderId="0" xfId="1" applyFont="1" applyAlignment="1">
      <alignment horizontal="center"/>
    </xf>
    <xf numFmtId="0" fontId="0" fillId="0" borderId="4" xfId="0" applyBorder="1"/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5" xfId="0" applyBorder="1"/>
    <xf numFmtId="0" fontId="9" fillId="0" borderId="6" xfId="0" applyFont="1" applyBorder="1"/>
    <xf numFmtId="0" fontId="10" fillId="0" borderId="7" xfId="0" applyFont="1" applyBorder="1"/>
    <xf numFmtId="0" fontId="4" fillId="0" borderId="0" xfId="0" applyFont="1"/>
    <xf numFmtId="0" fontId="9" fillId="0" borderId="8" xfId="0" applyFont="1" applyBorder="1"/>
    <xf numFmtId="0" fontId="11" fillId="0" borderId="9" xfId="0" applyFont="1" applyBorder="1"/>
    <xf numFmtId="0" fontId="12" fillId="0" borderId="4" xfId="0" applyFont="1" applyBorder="1" applyAlignment="1">
      <alignment horizontal="left"/>
    </xf>
    <xf numFmtId="0" fontId="4" fillId="0" borderId="10" xfId="0" applyFont="1" applyBorder="1"/>
    <xf numFmtId="0" fontId="21" fillId="0" borderId="10" xfId="0" applyFont="1" applyBorder="1" applyAlignment="1">
      <alignment vertical="center"/>
    </xf>
    <xf numFmtId="0" fontId="10" fillId="0" borderId="9" xfId="0" applyFont="1" applyBorder="1"/>
    <xf numFmtId="0" fontId="6" fillId="0" borderId="0" xfId="0" applyFont="1" applyAlignment="1">
      <alignment horizontal="center"/>
    </xf>
    <xf numFmtId="0" fontId="22" fillId="0" borderId="11" xfId="0" applyFont="1" applyBorder="1" applyAlignment="1">
      <alignment horizontal="left"/>
    </xf>
    <xf numFmtId="0" fontId="21" fillId="0" borderId="12" xfId="0" applyFont="1" applyBorder="1"/>
    <xf numFmtId="0" fontId="26" fillId="0" borderId="13" xfId="0" applyFont="1" applyBorder="1"/>
    <xf numFmtId="164" fontId="27" fillId="0" borderId="13" xfId="0" applyNumberFormat="1" applyFont="1" applyBorder="1"/>
    <xf numFmtId="0" fontId="0" fillId="0" borderId="13" xfId="0" applyBorder="1"/>
    <xf numFmtId="0" fontId="0" fillId="0" borderId="14" xfId="0" applyBorder="1"/>
    <xf numFmtId="0" fontId="21" fillId="0" borderId="15" xfId="0" applyFont="1" applyBorder="1"/>
    <xf numFmtId="0" fontId="21" fillId="0" borderId="13" xfId="0" applyFont="1" applyBorder="1"/>
    <xf numFmtId="0" fontId="27" fillId="0" borderId="13" xfId="0" applyFont="1" applyBorder="1"/>
    <xf numFmtId="0" fontId="28" fillId="0" borderId="14" xfId="0" applyFont="1" applyBorder="1"/>
    <xf numFmtId="0" fontId="28" fillId="0" borderId="16" xfId="0" applyFont="1" applyBorder="1"/>
    <xf numFmtId="0" fontId="0" fillId="0" borderId="10" xfId="0" applyBorder="1"/>
    <xf numFmtId="0" fontId="22" fillId="0" borderId="17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22" fillId="0" borderId="19" xfId="0" applyFont="1" applyBorder="1" applyAlignment="1">
      <alignment horizontal="right" vertical="top"/>
    </xf>
    <xf numFmtId="0" fontId="22" fillId="0" borderId="20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1" fontId="27" fillId="0" borderId="22" xfId="0" applyNumberFormat="1" applyFont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22" fillId="0" borderId="25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27" fillId="0" borderId="22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/>
    </xf>
    <xf numFmtId="0" fontId="10" fillId="5" borderId="8" xfId="0" applyFont="1" applyFill="1" applyBorder="1"/>
    <xf numFmtId="0" fontId="10" fillId="5" borderId="9" xfId="0" applyFont="1" applyFill="1" applyBorder="1"/>
    <xf numFmtId="0" fontId="34" fillId="0" borderId="27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34" fillId="0" borderId="29" xfId="1" applyFont="1" applyBorder="1" applyAlignment="1">
      <alignment horizontal="center" vertical="center"/>
    </xf>
    <xf numFmtId="0" fontId="34" fillId="0" borderId="30" xfId="1" applyFont="1" applyBorder="1" applyAlignment="1">
      <alignment horizontal="center" vertical="center"/>
    </xf>
    <xf numFmtId="0" fontId="22" fillId="0" borderId="31" xfId="0" applyFont="1" applyBorder="1" applyAlignment="1">
      <alignment horizontal="right" vertical="top"/>
    </xf>
    <xf numFmtId="0" fontId="22" fillId="0" borderId="10" xfId="0" applyFont="1" applyBorder="1" applyAlignment="1">
      <alignment horizontal="right" vertical="top"/>
    </xf>
    <xf numFmtId="0" fontId="6" fillId="0" borderId="10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35" fillId="0" borderId="34" xfId="0" applyFont="1" applyBorder="1" applyAlignment="1">
      <alignment horizontal="center" vertical="center" wrapText="1"/>
    </xf>
    <xf numFmtId="0" fontId="36" fillId="0" borderId="35" xfId="0" quotePrefix="1" applyFont="1" applyBorder="1" applyAlignment="1">
      <alignment horizontal="center"/>
    </xf>
    <xf numFmtId="0" fontId="11" fillId="0" borderId="36" xfId="0" applyFont="1" applyBorder="1"/>
    <xf numFmtId="1" fontId="37" fillId="0" borderId="34" xfId="0" applyNumberFormat="1" applyFont="1" applyBorder="1" applyAlignment="1">
      <alignment horizontal="right"/>
    </xf>
    <xf numFmtId="0" fontId="38" fillId="0" borderId="37" xfId="0" applyFont="1" applyBorder="1"/>
    <xf numFmtId="0" fontId="39" fillId="0" borderId="38" xfId="0" applyFont="1" applyBorder="1"/>
    <xf numFmtId="0" fontId="40" fillId="0" borderId="39" xfId="0" quotePrefix="1" applyFont="1" applyBorder="1" applyAlignment="1">
      <alignment horizontal="center"/>
    </xf>
    <xf numFmtId="0" fontId="11" fillId="0" borderId="36" xfId="0" quotePrefix="1" applyFont="1" applyBorder="1"/>
    <xf numFmtId="1" fontId="37" fillId="0" borderId="34" xfId="0" applyNumberFormat="1" applyFont="1" applyBorder="1"/>
    <xf numFmtId="0" fontId="40" fillId="0" borderId="40" xfId="0" quotePrefix="1" applyFont="1" applyBorder="1" applyAlignment="1">
      <alignment horizontal="center"/>
    </xf>
    <xf numFmtId="0" fontId="41" fillId="0" borderId="36" xfId="0" applyFont="1" applyBorder="1"/>
    <xf numFmtId="0" fontId="39" fillId="0" borderId="41" xfId="0" applyFont="1" applyBorder="1"/>
    <xf numFmtId="0" fontId="42" fillId="0" borderId="9" xfId="0" applyFont="1" applyBorder="1"/>
    <xf numFmtId="0" fontId="43" fillId="0" borderId="42" xfId="1" applyFont="1" applyBorder="1"/>
    <xf numFmtId="165" fontId="44" fillId="6" borderId="43" xfId="1" applyNumberFormat="1" applyFont="1" applyFill="1" applyBorder="1" applyAlignment="1">
      <alignment horizontal="center"/>
    </xf>
    <xf numFmtId="165" fontId="45" fillId="0" borderId="44" xfId="1" applyNumberFormat="1" applyFont="1" applyBorder="1" applyAlignment="1">
      <alignment horizontal="center"/>
    </xf>
    <xf numFmtId="3" fontId="44" fillId="6" borderId="44" xfId="1" applyNumberFormat="1" applyFont="1" applyFill="1" applyBorder="1" applyAlignment="1">
      <alignment horizontal="center"/>
    </xf>
    <xf numFmtId="165" fontId="45" fillId="2" borderId="44" xfId="1" applyNumberFormat="1" applyFont="1" applyFill="1" applyBorder="1" applyAlignment="1">
      <alignment horizontal="center"/>
    </xf>
    <xf numFmtId="165" fontId="45" fillId="2" borderId="45" xfId="1" applyNumberFormat="1" applyFont="1" applyFill="1" applyBorder="1" applyAlignment="1">
      <alignment horizontal="center"/>
    </xf>
    <xf numFmtId="0" fontId="22" fillId="7" borderId="46" xfId="0" applyFont="1" applyFill="1" applyBorder="1" applyAlignment="1">
      <alignment horizontal="center" vertical="center" wrapText="1"/>
    </xf>
    <xf numFmtId="0" fontId="46" fillId="0" borderId="47" xfId="0" quotePrefix="1" applyFont="1" applyBorder="1" applyAlignment="1">
      <alignment horizontal="center"/>
    </xf>
    <xf numFmtId="166" fontId="6" fillId="0" borderId="48" xfId="0" applyNumberFormat="1" applyFont="1" applyBorder="1"/>
    <xf numFmtId="166" fontId="6" fillId="0" borderId="44" xfId="0" applyNumberFormat="1" applyFont="1" applyBorder="1"/>
    <xf numFmtId="166" fontId="6" fillId="0" borderId="49" xfId="0" applyNumberFormat="1" applyFont="1" applyBorder="1"/>
    <xf numFmtId="0" fontId="35" fillId="0" borderId="50" xfId="0" applyFont="1" applyBorder="1" applyAlignment="1">
      <alignment horizontal="center" vertical="center" wrapText="1"/>
    </xf>
    <xf numFmtId="0" fontId="36" fillId="0" borderId="51" xfId="0" quotePrefix="1" applyFont="1" applyBorder="1" applyAlignment="1">
      <alignment horizontal="center"/>
    </xf>
    <xf numFmtId="0" fontId="11" fillId="0" borderId="48" xfId="0" applyFont="1" applyBorder="1"/>
    <xf numFmtId="1" fontId="37" fillId="0" borderId="52" xfId="0" applyNumberFormat="1" applyFont="1" applyBorder="1" applyAlignment="1">
      <alignment horizontal="right"/>
    </xf>
    <xf numFmtId="0" fontId="38" fillId="0" borderId="53" xfId="0" applyFont="1" applyBorder="1"/>
    <xf numFmtId="0" fontId="39" fillId="0" borderId="54" xfId="0" applyFont="1" applyBorder="1"/>
    <xf numFmtId="0" fontId="40" fillId="0" borderId="55" xfId="0" quotePrefix="1" applyFont="1" applyBorder="1" applyAlignment="1">
      <alignment horizontal="center"/>
    </xf>
    <xf numFmtId="0" fontId="39" fillId="0" borderId="43" xfId="0" applyFont="1" applyBorder="1"/>
    <xf numFmtId="0" fontId="46" fillId="0" borderId="51" xfId="0" quotePrefix="1" applyFont="1" applyBorder="1" applyAlignment="1">
      <alignment horizontal="center"/>
    </xf>
    <xf numFmtId="0" fontId="35" fillId="0" borderId="50" xfId="0" applyFont="1" applyBorder="1" applyAlignment="1">
      <alignment horizontal="center" vertical="top" wrapText="1"/>
    </xf>
    <xf numFmtId="0" fontId="11" fillId="0" borderId="56" xfId="0" applyFont="1" applyBorder="1"/>
    <xf numFmtId="0" fontId="11" fillId="5" borderId="8" xfId="0" applyFont="1" applyFill="1" applyBorder="1"/>
    <xf numFmtId="0" fontId="11" fillId="5" borderId="9" xfId="0" applyFont="1" applyFill="1" applyBorder="1"/>
    <xf numFmtId="0" fontId="22" fillId="7" borderId="46" xfId="0" applyFont="1" applyFill="1" applyBorder="1" applyAlignment="1">
      <alignment horizontal="center" vertical="top" wrapText="1"/>
    </xf>
    <xf numFmtId="0" fontId="35" fillId="0" borderId="50" xfId="0" quotePrefix="1" applyFont="1" applyBorder="1" applyAlignment="1">
      <alignment horizontal="center" vertical="top" wrapText="1"/>
    </xf>
    <xf numFmtId="0" fontId="36" fillId="0" borderId="57" xfId="0" quotePrefix="1" applyFont="1" applyBorder="1" applyAlignment="1">
      <alignment horizontal="center"/>
    </xf>
    <xf numFmtId="0" fontId="11" fillId="0" borderId="58" xfId="0" applyFont="1" applyBorder="1"/>
    <xf numFmtId="0" fontId="38" fillId="0" borderId="59" xfId="0" applyFont="1" applyBorder="1"/>
    <xf numFmtId="0" fontId="39" fillId="0" borderId="60" xfId="0" applyFont="1" applyBorder="1"/>
    <xf numFmtId="0" fontId="40" fillId="0" borderId="61" xfId="0" quotePrefix="1" applyFont="1" applyBorder="1" applyAlignment="1">
      <alignment horizontal="center"/>
    </xf>
    <xf numFmtId="0" fontId="39" fillId="0" borderId="62" xfId="0" applyFont="1" applyBorder="1"/>
    <xf numFmtId="0" fontId="22" fillId="7" borderId="46" xfId="0" quotePrefix="1" applyFont="1" applyFill="1" applyBorder="1" applyAlignment="1">
      <alignment horizontal="center" vertical="top" wrapText="1"/>
    </xf>
    <xf numFmtId="1" fontId="37" fillId="0" borderId="63" xfId="0" applyNumberFormat="1" applyFont="1" applyBorder="1" applyAlignment="1">
      <alignment horizontal="right"/>
    </xf>
    <xf numFmtId="1" fontId="47" fillId="8" borderId="64" xfId="0" applyNumberFormat="1" applyFont="1" applyFill="1" applyBorder="1" applyAlignment="1">
      <alignment horizontal="center" vertical="center" wrapText="1"/>
    </xf>
    <xf numFmtId="0" fontId="36" fillId="0" borderId="65" xfId="0" quotePrefix="1" applyFont="1" applyBorder="1" applyAlignment="1">
      <alignment horizontal="center"/>
    </xf>
    <xf numFmtId="0" fontId="11" fillId="0" borderId="66" xfId="0" applyFont="1" applyBorder="1"/>
    <xf numFmtId="1" fontId="37" fillId="0" borderId="67" xfId="0" applyNumberFormat="1" applyFont="1" applyBorder="1" applyAlignment="1">
      <alignment horizontal="right"/>
    </xf>
    <xf numFmtId="0" fontId="38" fillId="0" borderId="68" xfId="0" applyFont="1" applyBorder="1"/>
    <xf numFmtId="0" fontId="39" fillId="0" borderId="69" xfId="0" applyFont="1" applyBorder="1"/>
    <xf numFmtId="0" fontId="40" fillId="0" borderId="70" xfId="0" quotePrefix="1" applyFont="1" applyBorder="1" applyAlignment="1">
      <alignment horizontal="center"/>
    </xf>
    <xf numFmtId="0" fontId="39" fillId="0" borderId="71" xfId="0" applyFont="1" applyBorder="1"/>
    <xf numFmtId="0" fontId="22" fillId="7" borderId="31" xfId="0" applyFont="1" applyFill="1" applyBorder="1" applyAlignment="1">
      <alignment horizontal="center" vertical="top" wrapText="1"/>
    </xf>
    <xf numFmtId="0" fontId="46" fillId="7" borderId="72" xfId="0" quotePrefix="1" applyFont="1" applyFill="1" applyBorder="1" applyAlignment="1">
      <alignment horizontal="center"/>
    </xf>
    <xf numFmtId="166" fontId="6" fillId="7" borderId="73" xfId="0" applyNumberFormat="1" applyFont="1" applyFill="1" applyBorder="1"/>
    <xf numFmtId="166" fontId="6" fillId="7" borderId="74" xfId="0" applyNumberFormat="1" applyFont="1" applyFill="1" applyBorder="1"/>
    <xf numFmtId="166" fontId="6" fillId="7" borderId="75" xfId="0" applyNumberFormat="1" applyFont="1" applyFill="1" applyBorder="1"/>
    <xf numFmtId="0" fontId="48" fillId="0" borderId="0" xfId="0" applyFont="1"/>
    <xf numFmtId="0" fontId="49" fillId="0" borderId="0" xfId="0" applyFont="1"/>
    <xf numFmtId="0" fontId="35" fillId="0" borderId="11" xfId="0" applyFont="1" applyBorder="1" applyAlignment="1">
      <alignment horizontal="center" vertical="center" wrapText="1"/>
    </xf>
    <xf numFmtId="0" fontId="36" fillId="0" borderId="47" xfId="0" quotePrefix="1" applyFont="1" applyBorder="1" applyAlignment="1">
      <alignment horizontal="center"/>
    </xf>
    <xf numFmtId="0" fontId="11" fillId="0" borderId="76" xfId="0" applyFont="1" applyBorder="1"/>
    <xf numFmtId="1" fontId="37" fillId="0" borderId="77" xfId="0" applyNumberFormat="1" applyFont="1" applyBorder="1" applyAlignment="1">
      <alignment horizontal="right"/>
    </xf>
    <xf numFmtId="0" fontId="50" fillId="0" borderId="78" xfId="0" applyFont="1" applyBorder="1"/>
    <xf numFmtId="0" fontId="39" fillId="0" borderId="79" xfId="0" applyFont="1" applyBorder="1"/>
    <xf numFmtId="0" fontId="40" fillId="0" borderId="80" xfId="0" quotePrefix="1" applyFont="1" applyBorder="1" applyAlignment="1">
      <alignment horizontal="center"/>
    </xf>
    <xf numFmtId="1" fontId="37" fillId="0" borderId="77" xfId="0" applyNumberFormat="1" applyFont="1" applyBorder="1"/>
    <xf numFmtId="0" fontId="39" fillId="0" borderId="81" xfId="0" applyFont="1" applyBorder="1"/>
    <xf numFmtId="0" fontId="22" fillId="7" borderId="17" xfId="0" applyFont="1" applyFill="1" applyBorder="1" applyAlignment="1">
      <alignment horizontal="center" vertical="center" wrapText="1"/>
    </xf>
    <xf numFmtId="0" fontId="46" fillId="0" borderId="82" xfId="0" quotePrefix="1" applyFont="1" applyBorder="1" applyAlignment="1">
      <alignment horizontal="center"/>
    </xf>
    <xf numFmtId="166" fontId="6" fillId="0" borderId="56" xfId="0" applyNumberFormat="1" applyFont="1" applyBorder="1"/>
    <xf numFmtId="166" fontId="6" fillId="0" borderId="83" xfId="0" applyNumberFormat="1" applyFont="1" applyBorder="1"/>
    <xf numFmtId="166" fontId="6" fillId="0" borderId="84" xfId="0" applyNumberFormat="1" applyFont="1" applyBorder="1"/>
    <xf numFmtId="0" fontId="51" fillId="0" borderId="85" xfId="0" applyFont="1" applyBorder="1"/>
    <xf numFmtId="0" fontId="51" fillId="0" borderId="9" xfId="0" applyFont="1" applyBorder="1"/>
    <xf numFmtId="0" fontId="51" fillId="0" borderId="86" xfId="0" applyFont="1" applyBorder="1"/>
    <xf numFmtId="165" fontId="45" fillId="9" borderId="44" xfId="1" applyNumberFormat="1" applyFont="1" applyFill="1" applyBorder="1" applyAlignment="1">
      <alignment horizontal="center"/>
    </xf>
    <xf numFmtId="0" fontId="36" fillId="0" borderId="87" xfId="0" quotePrefix="1" applyFont="1" applyBorder="1" applyAlignment="1">
      <alignment horizontal="center"/>
    </xf>
    <xf numFmtId="0" fontId="11" fillId="0" borderId="88" xfId="0" applyFont="1" applyBorder="1"/>
    <xf numFmtId="1" fontId="37" fillId="0" borderId="89" xfId="0" applyNumberFormat="1" applyFont="1" applyBorder="1"/>
    <xf numFmtId="0" fontId="38" fillId="0" borderId="90" xfId="0" applyFont="1" applyBorder="1"/>
    <xf numFmtId="0" fontId="39" fillId="0" borderId="91" xfId="0" applyFont="1" applyBorder="1"/>
    <xf numFmtId="0" fontId="40" fillId="0" borderId="92" xfId="0" quotePrefix="1" applyFont="1" applyBorder="1" applyAlignment="1">
      <alignment horizontal="center"/>
    </xf>
    <xf numFmtId="1" fontId="52" fillId="0" borderId="89" xfId="0" applyNumberFormat="1" applyFont="1" applyBorder="1"/>
    <xf numFmtId="0" fontId="39" fillId="0" borderId="93" xfId="0" applyFont="1" applyBorder="1"/>
    <xf numFmtId="0" fontId="46" fillId="7" borderId="94" xfId="0" quotePrefix="1" applyFont="1" applyFill="1" applyBorder="1" applyAlignment="1">
      <alignment horizontal="center"/>
    </xf>
    <xf numFmtId="166" fontId="6" fillId="7" borderId="95" xfId="0" applyNumberFormat="1" applyFont="1" applyFill="1" applyBorder="1"/>
    <xf numFmtId="166" fontId="6" fillId="7" borderId="96" xfId="0" applyNumberFormat="1" applyFont="1" applyFill="1" applyBorder="1"/>
    <xf numFmtId="166" fontId="6" fillId="7" borderId="97" xfId="0" applyNumberFormat="1" applyFont="1" applyFill="1" applyBorder="1"/>
    <xf numFmtId="0" fontId="53" fillId="10" borderId="98" xfId="0" applyFont="1" applyFill="1" applyBorder="1" applyAlignment="1">
      <alignment horizontal="center" vertical="center" wrapText="1"/>
    </xf>
    <xf numFmtId="0" fontId="36" fillId="0" borderId="99" xfId="0" quotePrefix="1" applyFont="1" applyBorder="1" applyAlignment="1">
      <alignment horizontal="center"/>
    </xf>
    <xf numFmtId="0" fontId="11" fillId="0" borderId="100" xfId="0" applyFont="1" applyBorder="1"/>
    <xf numFmtId="1" fontId="52" fillId="0" borderId="101" xfId="0" applyNumberFormat="1" applyFont="1" applyBorder="1" applyAlignment="1">
      <alignment horizontal="right"/>
    </xf>
    <xf numFmtId="0" fontId="38" fillId="0" borderId="102" xfId="0" applyFont="1" applyBorder="1"/>
    <xf numFmtId="0" fontId="54" fillId="0" borderId="103" xfId="0" applyFont="1" applyBorder="1"/>
    <xf numFmtId="0" fontId="36" fillId="0" borderId="104" xfId="0" quotePrefix="1" applyFont="1" applyBorder="1" applyAlignment="1">
      <alignment horizontal="center"/>
    </xf>
    <xf numFmtId="1" fontId="37" fillId="0" borderId="101" xfId="0" applyNumberFormat="1" applyFont="1" applyBorder="1"/>
    <xf numFmtId="0" fontId="39" fillId="0" borderId="103" xfId="0" applyFont="1" applyBorder="1"/>
    <xf numFmtId="1" fontId="52" fillId="0" borderId="101" xfId="0" applyNumberFormat="1" applyFont="1" applyBorder="1"/>
    <xf numFmtId="0" fontId="54" fillId="0" borderId="105" xfId="0" applyFont="1" applyBorder="1"/>
    <xf numFmtId="0" fontId="53" fillId="10" borderId="106" xfId="0" applyFont="1" applyFill="1" applyBorder="1" applyAlignment="1">
      <alignment horizontal="center" vertical="center" wrapText="1"/>
    </xf>
    <xf numFmtId="0" fontId="36" fillId="0" borderId="100" xfId="0" quotePrefix="1" applyFont="1" applyBorder="1" applyAlignment="1">
      <alignment horizontal="center"/>
    </xf>
    <xf numFmtId="0" fontId="53" fillId="10" borderId="50" xfId="0" quotePrefix="1" applyFont="1" applyFill="1" applyBorder="1" applyAlignment="1">
      <alignment horizontal="center" vertical="center" wrapText="1"/>
    </xf>
    <xf numFmtId="1" fontId="52" fillId="0" borderId="63" xfId="0" applyNumberFormat="1" applyFont="1" applyBorder="1" applyAlignment="1">
      <alignment horizontal="right"/>
    </xf>
    <xf numFmtId="0" fontId="54" fillId="0" borderId="60" xfId="0" applyFont="1" applyBorder="1"/>
    <xf numFmtId="0" fontId="36" fillId="0" borderId="61" xfId="0" quotePrefix="1" applyFont="1" applyBorder="1" applyAlignment="1">
      <alignment horizontal="center"/>
    </xf>
    <xf numFmtId="0" fontId="54" fillId="0" borderId="62" xfId="0" applyFont="1" applyBorder="1"/>
    <xf numFmtId="0" fontId="51" fillId="0" borderId="9" xfId="1" applyFont="1" applyBorder="1"/>
    <xf numFmtId="0" fontId="51" fillId="11" borderId="9" xfId="1" applyFont="1" applyFill="1" applyBorder="1"/>
    <xf numFmtId="0" fontId="53" fillId="10" borderId="46" xfId="0" quotePrefix="1" applyFont="1" applyFill="1" applyBorder="1" applyAlignment="1">
      <alignment horizontal="center" vertical="center" wrapText="1"/>
    </xf>
    <xf numFmtId="0" fontId="36" fillId="0" borderId="58" xfId="0" quotePrefix="1" applyFont="1" applyBorder="1" applyAlignment="1">
      <alignment horizontal="center"/>
    </xf>
    <xf numFmtId="0" fontId="53" fillId="10" borderId="50" xfId="0" applyFont="1" applyFill="1" applyBorder="1" applyAlignment="1">
      <alignment horizontal="center" vertical="top" wrapText="1"/>
    </xf>
    <xf numFmtId="0" fontId="54" fillId="0" borderId="54" xfId="0" applyFont="1" applyBorder="1"/>
    <xf numFmtId="0" fontId="36" fillId="0" borderId="55" xfId="0" quotePrefix="1" applyFont="1" applyBorder="1" applyAlignment="1">
      <alignment horizontal="center"/>
    </xf>
    <xf numFmtId="0" fontId="54" fillId="0" borderId="43" xfId="0" applyFont="1" applyBorder="1"/>
    <xf numFmtId="0" fontId="53" fillId="10" borderId="46" xfId="0" applyFont="1" applyFill="1" applyBorder="1" applyAlignment="1">
      <alignment horizontal="center" vertical="top" wrapText="1"/>
    </xf>
    <xf numFmtId="0" fontId="36" fillId="0" borderId="48" xfId="0" quotePrefix="1" applyFont="1" applyBorder="1" applyAlignment="1">
      <alignment horizontal="center"/>
    </xf>
    <xf numFmtId="0" fontId="36" fillId="0" borderId="82" xfId="0" quotePrefix="1" applyFont="1" applyBorder="1" applyAlignment="1">
      <alignment horizontal="center"/>
    </xf>
    <xf numFmtId="0" fontId="38" fillId="0" borderId="107" xfId="0" applyFont="1" applyBorder="1"/>
    <xf numFmtId="0" fontId="54" fillId="0" borderId="108" xfId="0" applyFont="1" applyBorder="1"/>
    <xf numFmtId="0" fontId="36" fillId="0" borderId="109" xfId="0" quotePrefix="1" applyFont="1" applyBorder="1" applyAlignment="1">
      <alignment horizontal="center"/>
    </xf>
    <xf numFmtId="0" fontId="39" fillId="0" borderId="108" xfId="0" applyFont="1" applyBorder="1"/>
    <xf numFmtId="0" fontId="54" fillId="0" borderId="110" xfId="0" applyFont="1" applyBorder="1"/>
    <xf numFmtId="0" fontId="55" fillId="12" borderId="8" xfId="0" applyFont="1" applyFill="1" applyBorder="1"/>
    <xf numFmtId="0" fontId="45" fillId="2" borderId="9" xfId="0" applyFont="1" applyFill="1" applyBorder="1"/>
    <xf numFmtId="0" fontId="36" fillId="0" borderId="56" xfId="0" quotePrefix="1" applyFont="1" applyBorder="1" applyAlignment="1">
      <alignment horizontal="center"/>
    </xf>
    <xf numFmtId="0" fontId="53" fillId="10" borderId="111" xfId="0" applyFont="1" applyFill="1" applyBorder="1" applyAlignment="1">
      <alignment horizontal="center" vertical="top" wrapText="1"/>
    </xf>
    <xf numFmtId="0" fontId="36" fillId="0" borderId="112" xfId="0" quotePrefix="1" applyFont="1" applyBorder="1" applyAlignment="1">
      <alignment horizontal="center"/>
    </xf>
    <xf numFmtId="0" fontId="11" fillId="0" borderId="113" xfId="0" applyFont="1" applyBorder="1"/>
    <xf numFmtId="1" fontId="52" fillId="0" borderId="114" xfId="0" applyNumberFormat="1" applyFont="1" applyBorder="1"/>
    <xf numFmtId="0" fontId="38" fillId="0" borderId="115" xfId="0" applyFont="1" applyBorder="1"/>
    <xf numFmtId="0" fontId="54" fillId="0" borderId="116" xfId="0" applyFont="1" applyBorder="1"/>
    <xf numFmtId="0" fontId="40" fillId="0" borderId="117" xfId="0" quotePrefix="1" applyFont="1" applyBorder="1" applyAlignment="1">
      <alignment horizontal="center"/>
    </xf>
    <xf numFmtId="0" fontId="54" fillId="0" borderId="118" xfId="0" applyFont="1" applyBorder="1"/>
    <xf numFmtId="0" fontId="53" fillId="10" borderId="119" xfId="0" applyFont="1" applyFill="1" applyBorder="1" applyAlignment="1">
      <alignment horizontal="center" vertical="top" wrapText="1"/>
    </xf>
    <xf numFmtId="0" fontId="46" fillId="10" borderId="95" xfId="0" quotePrefix="1" applyFont="1" applyFill="1" applyBorder="1" applyAlignment="1">
      <alignment horizontal="center"/>
    </xf>
    <xf numFmtId="166" fontId="6" fillId="10" borderId="95" xfId="0" applyNumberFormat="1" applyFont="1" applyFill="1" applyBorder="1"/>
    <xf numFmtId="166" fontId="6" fillId="10" borderId="96" xfId="0" applyNumberFormat="1" applyFont="1" applyFill="1" applyBorder="1"/>
    <xf numFmtId="166" fontId="6" fillId="10" borderId="97" xfId="0" applyNumberFormat="1" applyFont="1" applyFill="1" applyBorder="1"/>
    <xf numFmtId="0" fontId="56" fillId="11" borderId="50" xfId="0" applyFont="1" applyFill="1" applyBorder="1" applyAlignment="1">
      <alignment horizontal="center" vertical="center" wrapText="1"/>
    </xf>
    <xf numFmtId="0" fontId="11" fillId="0" borderId="105" xfId="0" applyFont="1" applyBorder="1"/>
    <xf numFmtId="1" fontId="37" fillId="0" borderId="120" xfId="0" applyNumberFormat="1" applyFont="1" applyBorder="1" applyAlignment="1">
      <alignment horizontal="right"/>
    </xf>
    <xf numFmtId="0" fontId="39" fillId="0" borderId="121" xfId="0" applyFont="1" applyBorder="1"/>
    <xf numFmtId="0" fontId="40" fillId="0" borderId="109" xfId="0" quotePrefix="1" applyFont="1" applyBorder="1" applyAlignment="1">
      <alignment horizontal="center"/>
    </xf>
    <xf numFmtId="0" fontId="39" fillId="0" borderId="83" xfId="0" applyFont="1" applyBorder="1"/>
    <xf numFmtId="0" fontId="57" fillId="11" borderId="122" xfId="0" applyFont="1" applyFill="1" applyBorder="1" applyAlignment="1">
      <alignment horizontal="center" vertical="center" wrapText="1"/>
    </xf>
    <xf numFmtId="0" fontId="46" fillId="0" borderId="35" xfId="0" quotePrefix="1" applyFont="1" applyBorder="1" applyAlignment="1">
      <alignment horizontal="center"/>
    </xf>
    <xf numFmtId="0" fontId="56" fillId="11" borderId="50" xfId="0" quotePrefix="1" applyFont="1" applyFill="1" applyBorder="1" applyAlignment="1">
      <alignment horizontal="center" vertical="center" wrapText="1"/>
    </xf>
    <xf numFmtId="0" fontId="39" fillId="0" borderId="123" xfId="0" applyFont="1" applyBorder="1"/>
    <xf numFmtId="0" fontId="39" fillId="0" borderId="44" xfId="0" applyFont="1" applyBorder="1"/>
    <xf numFmtId="165" fontId="10" fillId="2" borderId="45" xfId="1" applyNumberFormat="1" applyFont="1" applyFill="1" applyBorder="1" applyAlignment="1">
      <alignment horizontal="center"/>
    </xf>
    <xf numFmtId="0" fontId="57" fillId="11" borderId="46" xfId="0" quotePrefix="1" applyFont="1" applyFill="1" applyBorder="1" applyAlignment="1">
      <alignment horizontal="center" vertical="center" wrapText="1"/>
    </xf>
    <xf numFmtId="1" fontId="52" fillId="0" borderId="52" xfId="0" applyNumberFormat="1" applyFont="1" applyBorder="1" applyAlignment="1">
      <alignment horizontal="right"/>
    </xf>
    <xf numFmtId="0" fontId="54" fillId="0" borderId="123" xfId="0" applyFont="1" applyBorder="1"/>
    <xf numFmtId="0" fontId="54" fillId="0" borderId="44" xfId="0" applyFont="1" applyBorder="1"/>
    <xf numFmtId="0" fontId="58" fillId="0" borderId="9" xfId="0" applyFont="1" applyBorder="1"/>
    <xf numFmtId="0" fontId="57" fillId="11" borderId="46" xfId="0" applyFont="1" applyFill="1" applyBorder="1" applyAlignment="1">
      <alignment horizontal="center" vertical="center" wrapText="1"/>
    </xf>
    <xf numFmtId="0" fontId="54" fillId="0" borderId="124" xfId="0" applyFont="1" applyBorder="1"/>
    <xf numFmtId="0" fontId="39" fillId="0" borderId="124" xfId="0" applyFont="1" applyBorder="1"/>
    <xf numFmtId="0" fontId="54" fillId="0" borderId="125" xfId="0" applyFont="1" applyBorder="1"/>
    <xf numFmtId="0" fontId="56" fillId="11" borderId="64" xfId="0" applyFont="1" applyFill="1" applyBorder="1" applyAlignment="1">
      <alignment horizontal="center" vertical="center" wrapText="1"/>
    </xf>
    <xf numFmtId="1" fontId="52" fillId="0" borderId="67" xfId="0" applyNumberFormat="1" applyFont="1" applyBorder="1"/>
    <xf numFmtId="0" fontId="54" fillId="0" borderId="126" xfId="0" applyFont="1" applyBorder="1"/>
    <xf numFmtId="0" fontId="54" fillId="0" borderId="127" xfId="0" applyFont="1" applyBorder="1"/>
    <xf numFmtId="3" fontId="44" fillId="6" borderId="45" xfId="1" applyNumberFormat="1" applyFont="1" applyFill="1" applyBorder="1" applyAlignment="1">
      <alignment horizontal="center"/>
    </xf>
    <xf numFmtId="0" fontId="57" fillId="11" borderId="31" xfId="0" applyFont="1" applyFill="1" applyBorder="1" applyAlignment="1">
      <alignment horizontal="center" vertical="center" wrapText="1"/>
    </xf>
    <xf numFmtId="0" fontId="46" fillId="11" borderId="72" xfId="0" quotePrefix="1" applyFont="1" applyFill="1" applyBorder="1" applyAlignment="1">
      <alignment horizontal="center"/>
    </xf>
    <xf numFmtId="166" fontId="6" fillId="11" borderId="73" xfId="0" applyNumberFormat="1" applyFont="1" applyFill="1" applyBorder="1"/>
    <xf numFmtId="166" fontId="6" fillId="11" borderId="74" xfId="0" applyNumberFormat="1" applyFont="1" applyFill="1" applyBorder="1"/>
    <xf numFmtId="166" fontId="6" fillId="11" borderId="75" xfId="0" applyNumberFormat="1" applyFont="1" applyFill="1" applyBorder="1"/>
    <xf numFmtId="0" fontId="56" fillId="11" borderId="11" xfId="0" applyFont="1" applyFill="1" applyBorder="1" applyAlignment="1">
      <alignment horizontal="center" vertical="center" wrapText="1"/>
    </xf>
    <xf numFmtId="1" fontId="52" fillId="0" borderId="77" xfId="0" applyNumberFormat="1" applyFont="1" applyBorder="1" applyAlignment="1">
      <alignment horizontal="right"/>
    </xf>
    <xf numFmtId="0" fontId="38" fillId="0" borderId="78" xfId="0" applyFont="1" applyBorder="1"/>
    <xf numFmtId="0" fontId="54" fillId="0" borderId="128" xfId="0" applyFont="1" applyBorder="1"/>
    <xf numFmtId="0" fontId="54" fillId="0" borderId="129" xfId="0" applyFont="1" applyBorder="1"/>
    <xf numFmtId="0" fontId="41" fillId="3" borderId="8" xfId="0" applyFont="1" applyFill="1" applyBorder="1"/>
    <xf numFmtId="0" fontId="41" fillId="3" borderId="9" xfId="0" applyFont="1" applyFill="1" applyBorder="1"/>
    <xf numFmtId="3" fontId="44" fillId="6" borderId="44" xfId="0" applyNumberFormat="1" applyFont="1" applyFill="1" applyBorder="1" applyAlignment="1">
      <alignment horizontal="center"/>
    </xf>
    <xf numFmtId="0" fontId="57" fillId="11" borderId="17" xfId="0" applyFont="1" applyFill="1" applyBorder="1" applyAlignment="1">
      <alignment horizontal="center" vertical="center" wrapText="1"/>
    </xf>
    <xf numFmtId="0" fontId="11" fillId="3" borderId="9" xfId="0" applyFont="1" applyFill="1" applyBorder="1"/>
    <xf numFmtId="0" fontId="11" fillId="5" borderId="85" xfId="0" applyFont="1" applyFill="1" applyBorder="1"/>
    <xf numFmtId="0" fontId="11" fillId="5" borderId="86" xfId="0" applyFont="1" applyFill="1" applyBorder="1"/>
    <xf numFmtId="0" fontId="51" fillId="0" borderId="42" xfId="0" applyFont="1" applyBorder="1"/>
    <xf numFmtId="165" fontId="44" fillId="6" borderId="43" xfId="0" applyNumberFormat="1" applyFont="1" applyFill="1" applyBorder="1" applyAlignment="1">
      <alignment horizontal="center"/>
    </xf>
    <xf numFmtId="0" fontId="43" fillId="0" borderId="0" xfId="0" applyFont="1"/>
    <xf numFmtId="0" fontId="11" fillId="0" borderId="130" xfId="0" applyFont="1" applyBorder="1"/>
    <xf numFmtId="0" fontId="11" fillId="0" borderId="85" xfId="0" applyFont="1" applyBorder="1"/>
    <xf numFmtId="0" fontId="43" fillId="0" borderId="42" xfId="0" applyFont="1" applyBorder="1"/>
    <xf numFmtId="165" fontId="10" fillId="6" borderId="43" xfId="1" applyNumberFormat="1" applyFont="1" applyFill="1" applyBorder="1" applyAlignment="1">
      <alignment horizontal="center"/>
    </xf>
    <xf numFmtId="3" fontId="59" fillId="6" borderId="44" xfId="1" applyNumberFormat="1" applyFont="1" applyFill="1" applyBorder="1" applyAlignment="1">
      <alignment horizontal="center"/>
    </xf>
    <xf numFmtId="165" fontId="59" fillId="6" borderId="45" xfId="1" applyNumberFormat="1" applyFont="1" applyFill="1" applyBorder="1" applyAlignment="1">
      <alignment horizontal="center"/>
    </xf>
    <xf numFmtId="0" fontId="42" fillId="0" borderId="85" xfId="0" applyFont="1" applyBorder="1"/>
    <xf numFmtId="3" fontId="60" fillId="6" borderId="44" xfId="1" applyNumberFormat="1" applyFont="1" applyFill="1" applyBorder="1" applyAlignment="1">
      <alignment horizontal="center"/>
    </xf>
    <xf numFmtId="0" fontId="56" fillId="11" borderId="111" xfId="0" applyFont="1" applyFill="1" applyBorder="1" applyAlignment="1">
      <alignment horizontal="center" vertical="center" wrapText="1"/>
    </xf>
    <xf numFmtId="0" fontId="54" fillId="0" borderId="91" xfId="0" applyFont="1" applyBorder="1"/>
    <xf numFmtId="0" fontId="54" fillId="0" borderId="131" xfId="0" applyFont="1" applyBorder="1"/>
    <xf numFmtId="0" fontId="11" fillId="0" borderId="8" xfId="0" applyFont="1" applyBorder="1"/>
    <xf numFmtId="165" fontId="61" fillId="0" borderId="43" xfId="1" applyNumberFormat="1" applyFont="1" applyBorder="1" applyAlignment="1">
      <alignment horizontal="center"/>
    </xf>
    <xf numFmtId="165" fontId="61" fillId="0" borderId="44" xfId="1" applyNumberFormat="1" applyFont="1" applyBorder="1" applyAlignment="1">
      <alignment horizontal="center"/>
    </xf>
    <xf numFmtId="165" fontId="61" fillId="2" borderId="45" xfId="1" applyNumberFormat="1" applyFont="1" applyFill="1" applyBorder="1" applyAlignment="1">
      <alignment horizontal="center"/>
    </xf>
    <xf numFmtId="0" fontId="57" fillId="11" borderId="119" xfId="0" applyFont="1" applyFill="1" applyBorder="1" applyAlignment="1">
      <alignment horizontal="center" vertical="center" wrapText="1"/>
    </xf>
    <xf numFmtId="0" fontId="46" fillId="11" borderId="94" xfId="0" quotePrefix="1" applyFont="1" applyFill="1" applyBorder="1" applyAlignment="1">
      <alignment horizontal="center"/>
    </xf>
    <xf numFmtId="166" fontId="6" fillId="11" borderId="95" xfId="0" applyNumberFormat="1" applyFont="1" applyFill="1" applyBorder="1"/>
    <xf numFmtId="166" fontId="6" fillId="11" borderId="96" xfId="0" applyNumberFormat="1" applyFont="1" applyFill="1" applyBorder="1"/>
    <xf numFmtId="166" fontId="6" fillId="11" borderId="97" xfId="0" applyNumberFormat="1" applyFont="1" applyFill="1" applyBorder="1"/>
    <xf numFmtId="0" fontId="53" fillId="12" borderId="98" xfId="0" applyFont="1" applyFill="1" applyBorder="1" applyAlignment="1">
      <alignment horizontal="center" vertical="center" wrapText="1"/>
    </xf>
    <xf numFmtId="0" fontId="11" fillId="0" borderId="132" xfId="0" applyFont="1" applyBorder="1"/>
    <xf numFmtId="1" fontId="37" fillId="0" borderId="101" xfId="0" applyNumberFormat="1" applyFont="1" applyBorder="1" applyAlignment="1">
      <alignment horizontal="right"/>
    </xf>
    <xf numFmtId="0" fontId="40" fillId="0" borderId="104" xfId="0" quotePrefix="1" applyFont="1" applyBorder="1" applyAlignment="1">
      <alignment horizontal="center"/>
    </xf>
    <xf numFmtId="0" fontId="41" fillId="0" borderId="132" xfId="0" applyFont="1" applyBorder="1"/>
    <xf numFmtId="0" fontId="39" fillId="0" borderId="133" xfId="0" applyFont="1" applyBorder="1"/>
    <xf numFmtId="0" fontId="11" fillId="0" borderId="134" xfId="0" applyFont="1" applyBorder="1"/>
    <xf numFmtId="0" fontId="11" fillId="0" borderId="135" xfId="0" applyFont="1" applyBorder="1"/>
    <xf numFmtId="0" fontId="62" fillId="12" borderId="46" xfId="0" applyFont="1" applyFill="1" applyBorder="1" applyAlignment="1">
      <alignment horizontal="center" vertical="center" wrapText="1"/>
    </xf>
    <xf numFmtId="0" fontId="53" fillId="12" borderId="50" xfId="0" applyFont="1" applyFill="1" applyBorder="1" applyAlignment="1">
      <alignment horizontal="center" vertical="center" wrapText="1"/>
    </xf>
    <xf numFmtId="0" fontId="41" fillId="0" borderId="43" xfId="0" applyFont="1" applyBorder="1"/>
    <xf numFmtId="0" fontId="42" fillId="0" borderId="4" xfId="0" applyFont="1" applyBorder="1"/>
    <xf numFmtId="0" fontId="11" fillId="0" borderId="0" xfId="0" applyFont="1"/>
    <xf numFmtId="165" fontId="63" fillId="0" borderId="44" xfId="1" applyNumberFormat="1" applyFont="1" applyBorder="1" applyAlignment="1">
      <alignment horizontal="center"/>
    </xf>
    <xf numFmtId="165" fontId="63" fillId="2" borderId="45" xfId="1" applyNumberFormat="1" applyFont="1" applyFill="1" applyBorder="1" applyAlignment="1">
      <alignment horizontal="center"/>
    </xf>
    <xf numFmtId="0" fontId="41" fillId="0" borderId="48" xfId="0" applyFont="1" applyBorder="1"/>
    <xf numFmtId="165" fontId="48" fillId="6" borderId="43" xfId="1" applyNumberFormat="1" applyFont="1" applyFill="1" applyBorder="1" applyAlignment="1">
      <alignment horizontal="center"/>
    </xf>
    <xf numFmtId="3" fontId="48" fillId="6" borderId="44" xfId="1" applyNumberFormat="1" applyFont="1" applyFill="1" applyBorder="1" applyAlignment="1">
      <alignment horizontal="center"/>
    </xf>
    <xf numFmtId="165" fontId="61" fillId="9" borderId="44" xfId="1" applyNumberFormat="1" applyFont="1" applyFill="1" applyBorder="1" applyAlignment="1">
      <alignment horizontal="center"/>
    </xf>
    <xf numFmtId="165" fontId="61" fillId="2" borderId="44" xfId="1" applyNumberFormat="1" applyFont="1" applyFill="1" applyBorder="1" applyAlignment="1">
      <alignment horizontal="center"/>
    </xf>
    <xf numFmtId="165" fontId="48" fillId="6" borderId="45" xfId="1" applyNumberFormat="1" applyFont="1" applyFill="1" applyBorder="1" applyAlignment="1">
      <alignment horizontal="center"/>
    </xf>
    <xf numFmtId="0" fontId="53" fillId="12" borderId="50" xfId="0" quotePrefix="1" applyFont="1" applyFill="1" applyBorder="1" applyAlignment="1">
      <alignment horizontal="center" vertical="center" wrapText="1"/>
    </xf>
    <xf numFmtId="0" fontId="62" fillId="12" borderId="46" xfId="0" quotePrefix="1" applyFont="1" applyFill="1" applyBorder="1" applyAlignment="1">
      <alignment horizontal="center" vertical="center" wrapText="1"/>
    </xf>
    <xf numFmtId="0" fontId="53" fillId="12" borderId="50" xfId="0" quotePrefix="1" applyFont="1" applyFill="1" applyBorder="1" applyAlignment="1">
      <alignment horizontal="center" vertical="top" wrapText="1"/>
    </xf>
    <xf numFmtId="0" fontId="36" fillId="0" borderId="136" xfId="0" quotePrefix="1" applyFont="1" applyBorder="1" applyAlignment="1">
      <alignment horizontal="center"/>
    </xf>
    <xf numFmtId="0" fontId="11" fillId="0" borderId="137" xfId="0" applyFont="1" applyBorder="1"/>
    <xf numFmtId="1" fontId="37" fillId="0" borderId="138" xfId="0" applyNumberFormat="1" applyFont="1" applyBorder="1" applyAlignment="1">
      <alignment horizontal="right"/>
    </xf>
    <xf numFmtId="0" fontId="38" fillId="0" borderId="139" xfId="0" applyFont="1" applyBorder="1"/>
    <xf numFmtId="0" fontId="39" fillId="0" borderId="140" xfId="0" applyFont="1" applyBorder="1"/>
    <xf numFmtId="0" fontId="40" fillId="0" borderId="141" xfId="0" quotePrefix="1" applyFont="1" applyBorder="1" applyAlignment="1">
      <alignment horizontal="center"/>
    </xf>
    <xf numFmtId="0" fontId="40" fillId="0" borderId="142" xfId="0" quotePrefix="1" applyFont="1" applyBorder="1" applyAlignment="1">
      <alignment horizontal="center"/>
    </xf>
    <xf numFmtId="0" fontId="41" fillId="0" borderId="143" xfId="0" applyFont="1" applyBorder="1"/>
    <xf numFmtId="0" fontId="38" fillId="0" borderId="144" xfId="0" applyFont="1" applyBorder="1"/>
    <xf numFmtId="0" fontId="39" fillId="0" borderId="145" xfId="0" applyFont="1" applyBorder="1"/>
    <xf numFmtId="0" fontId="46" fillId="0" borderId="57" xfId="0" quotePrefix="1" applyFont="1" applyBorder="1" applyAlignment="1">
      <alignment horizontal="center"/>
    </xf>
    <xf numFmtId="1" fontId="64" fillId="8" borderId="64" xfId="0" applyNumberFormat="1" applyFont="1" applyFill="1" applyBorder="1" applyAlignment="1">
      <alignment horizontal="center" vertical="center" wrapText="1"/>
    </xf>
    <xf numFmtId="1" fontId="37" fillId="0" borderId="50" xfId="0" applyNumberFormat="1" applyFont="1" applyBorder="1"/>
    <xf numFmtId="0" fontId="38" fillId="0" borderId="146" xfId="0" applyFont="1" applyBorder="1"/>
    <xf numFmtId="0" fontId="39" fillId="0" borderId="147" xfId="0" applyFont="1" applyBorder="1"/>
    <xf numFmtId="0" fontId="40" fillId="0" borderId="148" xfId="0" quotePrefix="1" applyFont="1" applyBorder="1" applyAlignment="1">
      <alignment horizontal="center"/>
    </xf>
    <xf numFmtId="0" fontId="37" fillId="0" borderId="60" xfId="0" applyFont="1" applyBorder="1"/>
    <xf numFmtId="0" fontId="10" fillId="0" borderId="66" xfId="0" applyFont="1" applyBorder="1"/>
    <xf numFmtId="1" fontId="37" fillId="0" borderId="67" xfId="0" applyNumberFormat="1" applyFont="1" applyBorder="1"/>
    <xf numFmtId="1" fontId="37" fillId="0" borderId="127" xfId="0" applyNumberFormat="1" applyFont="1" applyBorder="1"/>
    <xf numFmtId="0" fontId="62" fillId="12" borderId="31" xfId="0" quotePrefix="1" applyFont="1" applyFill="1" applyBorder="1" applyAlignment="1">
      <alignment horizontal="center" vertical="top" wrapText="1"/>
    </xf>
    <xf numFmtId="0" fontId="46" fillId="12" borderId="72" xfId="0" quotePrefix="1" applyFont="1" applyFill="1" applyBorder="1" applyAlignment="1">
      <alignment horizontal="center"/>
    </xf>
    <xf numFmtId="166" fontId="6" fillId="12" borderId="73" xfId="0" applyNumberFormat="1" applyFont="1" applyFill="1" applyBorder="1"/>
    <xf numFmtId="166" fontId="6" fillId="12" borderId="74" xfId="0" applyNumberFormat="1" applyFont="1" applyFill="1" applyBorder="1"/>
    <xf numFmtId="166" fontId="6" fillId="12" borderId="75" xfId="0" applyNumberFormat="1" applyFont="1" applyFill="1" applyBorder="1"/>
    <xf numFmtId="0" fontId="53" fillId="12" borderId="11" xfId="0" applyFont="1" applyFill="1" applyBorder="1" applyAlignment="1">
      <alignment horizontal="center" vertical="center" wrapText="1"/>
    </xf>
    <xf numFmtId="0" fontId="41" fillId="0" borderId="81" xfId="0" applyFont="1" applyBorder="1"/>
    <xf numFmtId="0" fontId="39" fillId="0" borderId="129" xfId="0" applyFont="1" applyBorder="1"/>
    <xf numFmtId="3" fontId="65" fillId="6" borderId="44" xfId="1" applyNumberFormat="1" applyFont="1" applyFill="1" applyBorder="1" applyAlignment="1">
      <alignment horizontal="center"/>
    </xf>
    <xf numFmtId="165" fontId="65" fillId="6" borderId="45" xfId="1" applyNumberFormat="1" applyFont="1" applyFill="1" applyBorder="1" applyAlignment="1">
      <alignment horizontal="center"/>
    </xf>
    <xf numFmtId="0" fontId="62" fillId="12" borderId="17" xfId="0" applyFont="1" applyFill="1" applyBorder="1" applyAlignment="1">
      <alignment horizontal="center" vertical="center" wrapText="1"/>
    </xf>
    <xf numFmtId="0" fontId="62" fillId="12" borderId="46" xfId="0" quotePrefix="1" applyFont="1" applyFill="1" applyBorder="1" applyAlignment="1">
      <alignment horizontal="center" vertical="top" wrapText="1"/>
    </xf>
    <xf numFmtId="0" fontId="41" fillId="0" borderId="149" xfId="0" applyFont="1" applyBorder="1"/>
    <xf numFmtId="0" fontId="39" fillId="0" borderId="125" xfId="0" applyFont="1" applyBorder="1"/>
    <xf numFmtId="0" fontId="11" fillId="0" borderId="10" xfId="0" applyFont="1" applyBorder="1"/>
    <xf numFmtId="1" fontId="37" fillId="0" borderId="64" xfId="0" applyNumberFormat="1" applyFont="1" applyBorder="1"/>
    <xf numFmtId="0" fontId="38" fillId="0" borderId="150" xfId="0" applyFont="1" applyBorder="1"/>
    <xf numFmtId="0" fontId="39" fillId="0" borderId="151" xfId="0" applyFont="1" applyBorder="1"/>
    <xf numFmtId="0" fontId="40" fillId="0" borderId="152" xfId="0" quotePrefix="1" applyFont="1" applyBorder="1" applyAlignment="1">
      <alignment horizontal="center"/>
    </xf>
    <xf numFmtId="0" fontId="37" fillId="0" borderId="151" xfId="0" applyFont="1" applyBorder="1"/>
    <xf numFmtId="0" fontId="62" fillId="12" borderId="31" xfId="0" applyFont="1" applyFill="1" applyBorder="1" applyAlignment="1">
      <alignment horizontal="center" vertical="center" wrapText="1"/>
    </xf>
    <xf numFmtId="0" fontId="10" fillId="0" borderId="81" xfId="0" applyFont="1" applyBorder="1"/>
    <xf numFmtId="0" fontId="41" fillId="0" borderId="76" xfId="0" applyFont="1" applyBorder="1"/>
    <xf numFmtId="0" fontId="42" fillId="0" borderId="153" xfId="0" applyFont="1" applyBorder="1"/>
    <xf numFmtId="0" fontId="41" fillId="0" borderId="137" xfId="0" applyFont="1" applyBorder="1"/>
    <xf numFmtId="0" fontId="39" fillId="0" borderId="154" xfId="0" applyFont="1" applyBorder="1"/>
    <xf numFmtId="1" fontId="37" fillId="0" borderId="151" xfId="0" applyNumberFormat="1" applyFont="1" applyBorder="1"/>
    <xf numFmtId="1" fontId="52" fillId="0" borderId="64" xfId="0" applyNumberFormat="1" applyFont="1" applyBorder="1"/>
    <xf numFmtId="1" fontId="66" fillId="0" borderId="32" xfId="0" applyNumberFormat="1" applyFont="1" applyBorder="1"/>
    <xf numFmtId="0" fontId="67" fillId="0" borderId="0" xfId="0" applyFont="1"/>
    <xf numFmtId="0" fontId="53" fillId="0" borderId="0" xfId="0" applyFont="1"/>
    <xf numFmtId="0" fontId="68" fillId="0" borderId="0" xfId="0" applyFont="1"/>
    <xf numFmtId="0" fontId="53" fillId="0" borderId="48" xfId="0" applyFont="1" applyBorder="1"/>
    <xf numFmtId="0" fontId="68" fillId="0" borderId="48" xfId="0" applyFont="1" applyBorder="1"/>
    <xf numFmtId="165" fontId="61" fillId="0" borderId="45" xfId="1" applyNumberFormat="1" applyFont="1" applyBorder="1" applyAlignment="1">
      <alignment horizontal="center"/>
    </xf>
    <xf numFmtId="0" fontId="0" fillId="0" borderId="155" xfId="0" applyBorder="1"/>
    <xf numFmtId="0" fontId="53" fillId="0" borderId="10" xfId="0" applyFont="1" applyBorder="1"/>
    <xf numFmtId="0" fontId="68" fillId="0" borderId="10" xfId="0" applyFont="1" applyBorder="1"/>
    <xf numFmtId="0" fontId="0" fillId="0" borderId="33" xfId="0" applyBorder="1"/>
    <xf numFmtId="165" fontId="45" fillId="0" borderId="43" xfId="1" applyNumberFormat="1" applyFont="1" applyBorder="1" applyAlignment="1">
      <alignment horizontal="center"/>
    </xf>
    <xf numFmtId="165" fontId="69" fillId="0" borderId="44" xfId="1" applyNumberFormat="1" applyFont="1" applyBorder="1" applyAlignment="1">
      <alignment horizontal="center"/>
    </xf>
    <xf numFmtId="165" fontId="69" fillId="2" borderId="45" xfId="1" applyNumberFormat="1" applyFont="1" applyFill="1" applyBorder="1" applyAlignment="1">
      <alignment horizontal="center"/>
    </xf>
    <xf numFmtId="165" fontId="10" fillId="6" borderId="45" xfId="1" applyNumberFormat="1" applyFont="1" applyFill="1" applyBorder="1" applyAlignment="1">
      <alignment horizontal="center"/>
    </xf>
    <xf numFmtId="165" fontId="45" fillId="0" borderId="43" xfId="0" applyNumberFormat="1" applyFont="1" applyBorder="1" applyAlignment="1">
      <alignment horizontal="center"/>
    </xf>
    <xf numFmtId="165" fontId="69" fillId="0" borderId="44" xfId="0" applyNumberFormat="1" applyFont="1" applyBorder="1" applyAlignment="1">
      <alignment horizontal="center"/>
    </xf>
    <xf numFmtId="165" fontId="45" fillId="0" borderId="44" xfId="0" applyNumberFormat="1" applyFont="1" applyBorder="1" applyAlignment="1">
      <alignment horizontal="center"/>
    </xf>
    <xf numFmtId="165" fontId="45" fillId="2" borderId="44" xfId="0" applyNumberFormat="1" applyFont="1" applyFill="1" applyBorder="1" applyAlignment="1">
      <alignment horizontal="center"/>
    </xf>
    <xf numFmtId="0" fontId="70" fillId="0" borderId="42" xfId="1" applyFont="1" applyBorder="1"/>
    <xf numFmtId="0" fontId="71" fillId="2" borderId="42" xfId="1" applyFont="1" applyFill="1" applyBorder="1"/>
    <xf numFmtId="3" fontId="71" fillId="2" borderId="43" xfId="1" applyNumberFormat="1" applyFont="1" applyFill="1" applyBorder="1" applyAlignment="1">
      <alignment horizontal="center"/>
    </xf>
    <xf numFmtId="3" fontId="71" fillId="2" borderId="44" xfId="1" applyNumberFormat="1" applyFont="1" applyFill="1" applyBorder="1" applyAlignment="1">
      <alignment horizontal="center"/>
    </xf>
    <xf numFmtId="3" fontId="71" fillId="2" borderId="45" xfId="1" applyNumberFormat="1" applyFont="1" applyFill="1" applyBorder="1" applyAlignment="1">
      <alignment horizontal="center"/>
    </xf>
    <xf numFmtId="0" fontId="71" fillId="2" borderId="42" xfId="1" applyFont="1" applyFill="1" applyBorder="1" applyAlignment="1">
      <alignment vertical="top"/>
    </xf>
    <xf numFmtId="3" fontId="71" fillId="2" borderId="43" xfId="1" applyNumberFormat="1" applyFont="1" applyFill="1" applyBorder="1" applyAlignment="1">
      <alignment horizontal="center" vertical="top"/>
    </xf>
    <xf numFmtId="3" fontId="71" fillId="2" borderId="44" xfId="1" applyNumberFormat="1" applyFont="1" applyFill="1" applyBorder="1" applyAlignment="1">
      <alignment horizontal="center" vertical="top"/>
    </xf>
    <xf numFmtId="3" fontId="71" fillId="2" borderId="45" xfId="1" applyNumberFormat="1" applyFont="1" applyFill="1" applyBorder="1" applyAlignment="1">
      <alignment horizontal="center" vertical="top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21" fillId="0" borderId="10" xfId="0" applyFont="1" applyBorder="1"/>
    <xf numFmtId="0" fontId="17" fillId="3" borderId="156" xfId="0" quotePrefix="1" applyFont="1" applyFill="1" applyBorder="1" applyAlignment="1">
      <alignment horizontal="center" vertical="center"/>
    </xf>
    <xf numFmtId="0" fontId="15" fillId="2" borderId="156" xfId="0" quotePrefix="1" applyFont="1" applyFill="1" applyBorder="1" applyAlignment="1">
      <alignment horizontal="center" vertical="center"/>
    </xf>
    <xf numFmtId="0" fontId="19" fillId="4" borderId="156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33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</cellXfs>
  <cellStyles count="2">
    <cellStyle name="Normal" xfId="0" builtinId="0"/>
    <cellStyle name="Normal_TTL Process Time Actual '2014 (200115) " xfId="1" xr:uid="{72E43E00-BD15-464F-86D5-B929662F0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0</xdr:row>
      <xdr:rowOff>47625</xdr:rowOff>
    </xdr:from>
    <xdr:to>
      <xdr:col>16</xdr:col>
      <xdr:colOff>504825</xdr:colOff>
      <xdr:row>3</xdr:row>
      <xdr:rowOff>152400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75C22C3F-B656-48AB-8F5C-A430258299D1}"/>
            </a:ext>
          </a:extLst>
        </xdr:cNvPr>
        <xdr:cNvGrpSpPr>
          <a:grpSpLocks/>
        </xdr:cNvGrpSpPr>
      </xdr:nvGrpSpPr>
      <xdr:grpSpPr bwMode="auto">
        <a:xfrm>
          <a:off x="5423452" y="47625"/>
          <a:ext cx="2508112" cy="553416"/>
          <a:chOff x="5111460" y="48492"/>
          <a:chExt cx="2414647" cy="545176"/>
        </a:xfrm>
      </xdr:grpSpPr>
      <xdr:sp macro="" textlink="">
        <xdr:nvSpPr>
          <xdr:cNvPr id="3" name="Rectangle 1">
            <a:extLst>
              <a:ext uri="{FF2B5EF4-FFF2-40B4-BE49-F238E27FC236}">
                <a16:creationId xmlns:a16="http://schemas.microsoft.com/office/drawing/2014/main" id="{28A7891E-8460-B686-9EED-3A031FA44FA8}"/>
              </a:ext>
            </a:extLst>
          </xdr:cNvPr>
          <xdr:cNvSpPr/>
        </xdr:nvSpPr>
        <xdr:spPr bwMode="auto">
          <a:xfrm>
            <a:off x="6943919" y="48492"/>
            <a:ext cx="582188" cy="545176"/>
          </a:xfrm>
          <a:prstGeom prst="rect">
            <a:avLst/>
          </a:prstGeom>
          <a:solidFill>
            <a:schemeClr val="bg1"/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b"/>
          <a:lstStyle/>
          <a:p>
            <a:pPr algn="ctr"/>
            <a:r>
              <a:rPr lang="id-ID" sz="700">
                <a:solidFill>
                  <a:sysClr val="windowText" lastClr="000000"/>
                </a:solidFill>
                <a:latin typeface="+mn-lt"/>
                <a:cs typeface="Times New Roman" pitchFamily="18" charset="0"/>
              </a:rPr>
              <a:t>G. Chief  I</a:t>
            </a:r>
            <a:endParaRPr lang="en-US" sz="700">
              <a:solidFill>
                <a:sysClr val="windowText" lastClr="000000"/>
              </a:solidFill>
              <a:latin typeface="+mn-lt"/>
              <a:cs typeface="Times New Roman" pitchFamily="18" charset="0"/>
            </a:endParaRPr>
          </a:p>
        </xdr:txBody>
      </xdr:sp>
      <xdr:sp macro="" textlink="">
        <xdr:nvSpPr>
          <xdr:cNvPr id="4" name="Rectangle 1">
            <a:extLst>
              <a:ext uri="{FF2B5EF4-FFF2-40B4-BE49-F238E27FC236}">
                <a16:creationId xmlns:a16="http://schemas.microsoft.com/office/drawing/2014/main" id="{105B298F-5BD6-4BA3-2D2A-B300E85EEDC6}"/>
              </a:ext>
            </a:extLst>
          </xdr:cNvPr>
          <xdr:cNvSpPr/>
        </xdr:nvSpPr>
        <xdr:spPr bwMode="auto">
          <a:xfrm>
            <a:off x="5111460" y="48492"/>
            <a:ext cx="591732" cy="545176"/>
          </a:xfrm>
          <a:prstGeom prst="rect">
            <a:avLst/>
          </a:prstGeom>
          <a:solidFill>
            <a:schemeClr val="bg1"/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b"/>
          <a:lstStyle/>
          <a:p>
            <a:pPr algn="ctr"/>
            <a:r>
              <a:rPr lang="id-ID" sz="700">
                <a:solidFill>
                  <a:sysClr val="windowText" lastClr="000000"/>
                </a:solidFill>
                <a:latin typeface="+mn-lt"/>
                <a:cs typeface="Times New Roman" pitchFamily="18" charset="0"/>
              </a:rPr>
              <a:t>S. Chief </a:t>
            </a:r>
            <a:endParaRPr lang="en-US" sz="700">
              <a:solidFill>
                <a:sysClr val="windowText" lastClr="000000"/>
              </a:solidFill>
              <a:latin typeface="+mn-lt"/>
              <a:cs typeface="Times New Roman" pitchFamily="18" charset="0"/>
            </a:endParaRPr>
          </a:p>
        </xdr:txBody>
      </xdr:sp>
      <xdr:sp macro="" textlink="">
        <xdr:nvSpPr>
          <xdr:cNvPr id="5" name="Rectangle 1">
            <a:extLst>
              <a:ext uri="{FF2B5EF4-FFF2-40B4-BE49-F238E27FC236}">
                <a16:creationId xmlns:a16="http://schemas.microsoft.com/office/drawing/2014/main" id="{2D3FBCB3-5BC6-3301-06A1-A37FED5C0EF8}"/>
              </a:ext>
            </a:extLst>
          </xdr:cNvPr>
          <xdr:cNvSpPr/>
        </xdr:nvSpPr>
        <xdr:spPr bwMode="auto">
          <a:xfrm>
            <a:off x="5722280" y="48492"/>
            <a:ext cx="591732" cy="545176"/>
          </a:xfrm>
          <a:prstGeom prst="rect">
            <a:avLst/>
          </a:prstGeom>
          <a:solidFill>
            <a:schemeClr val="bg1"/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b"/>
          <a:lstStyle/>
          <a:p>
            <a:pPr algn="ctr"/>
            <a:r>
              <a:rPr lang="id-ID" sz="700">
                <a:solidFill>
                  <a:sysClr val="windowText" lastClr="000000"/>
                </a:solidFill>
                <a:latin typeface="+mn-lt"/>
                <a:cs typeface="Times New Roman" pitchFamily="18" charset="0"/>
              </a:rPr>
              <a:t>G. Chief  III</a:t>
            </a:r>
            <a:endParaRPr lang="en-US" sz="700">
              <a:solidFill>
                <a:sysClr val="windowText" lastClr="000000"/>
              </a:solidFill>
              <a:latin typeface="+mn-lt"/>
              <a:cs typeface="Times New Roman" pitchFamily="18" charset="0"/>
            </a:endParaRPr>
          </a:p>
        </xdr:txBody>
      </xdr:sp>
      <xdr:sp macro="" textlink="">
        <xdr:nvSpPr>
          <xdr:cNvPr id="6" name="Rectangle 1">
            <a:extLst>
              <a:ext uri="{FF2B5EF4-FFF2-40B4-BE49-F238E27FC236}">
                <a16:creationId xmlns:a16="http://schemas.microsoft.com/office/drawing/2014/main" id="{10071087-FD7E-BAAB-70C4-43633C9AE2FE}"/>
              </a:ext>
            </a:extLst>
          </xdr:cNvPr>
          <xdr:cNvSpPr/>
        </xdr:nvSpPr>
        <xdr:spPr bwMode="auto">
          <a:xfrm>
            <a:off x="6333100" y="48492"/>
            <a:ext cx="591732" cy="545176"/>
          </a:xfrm>
          <a:prstGeom prst="rect">
            <a:avLst/>
          </a:prstGeom>
          <a:solidFill>
            <a:schemeClr val="bg1"/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b"/>
          <a:lstStyle/>
          <a:p>
            <a:pPr algn="ctr"/>
            <a:r>
              <a:rPr lang="id-ID" sz="700">
                <a:solidFill>
                  <a:sysClr val="windowText" lastClr="000000"/>
                </a:solidFill>
                <a:latin typeface="+mn-lt"/>
                <a:cs typeface="Times New Roman" pitchFamily="18" charset="0"/>
              </a:rPr>
              <a:t>G. Chief  II</a:t>
            </a:r>
            <a:endParaRPr lang="en-US" sz="700">
              <a:solidFill>
                <a:sysClr val="windowText" lastClr="000000"/>
              </a:solidFill>
              <a:latin typeface="+mn-lt"/>
              <a:cs typeface="Times New Roman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MP\Format%20AMP\2025-10_a_MASTER%20P.S.I.%20AMP%20(New).xlsx" TargetMode="External"/><Relationship Id="rId1" Type="http://schemas.openxmlformats.org/officeDocument/2006/relationships/externalLinkPath" Target="file:///D:\AMP\Format%20AMP\2025-10_a_MASTER%20P.S.I.%20AMP%20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  <sheetName val="30-LM"/>
      <sheetName val="29-LM"/>
      <sheetName val="28-LM"/>
      <sheetName val="27-LM"/>
      <sheetName val="26-LM"/>
      <sheetName val="25-LM"/>
      <sheetName val="24-LM"/>
      <sheetName val="23-LM"/>
      <sheetName val="Produksi"/>
      <sheetName val="O.B. PARENT"/>
      <sheetName val="M &amp; LM OCT '25"/>
      <sheetName val="Act STOCK end 09'25"/>
      <sheetName val="PART"/>
      <sheetName val="Copy PSI"/>
      <sheetName val="In-Out end 09'25"/>
      <sheetName val="TAKING end 09'25"/>
      <sheetName val="WIP SMT"/>
      <sheetName val="WIP RH"/>
      <sheetName val="WIP AVK"/>
      <sheetName val="WIP JVK"/>
      <sheetName val="TL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6">
          <cell r="A6" t="str">
            <v>RF-P50DGC /GU /GT /PR /LJ-S</v>
          </cell>
        </row>
        <row r="11">
          <cell r="A11" t="str">
            <v>RF-P50DEG</v>
          </cell>
        </row>
        <row r="16">
          <cell r="A16" t="str">
            <v>RF-P50DPP-S</v>
          </cell>
        </row>
        <row r="21">
          <cell r="A21" t="str">
            <v>RF-P55-S</v>
          </cell>
        </row>
        <row r="26">
          <cell r="A26" t="str">
            <v>RF-P155-S</v>
          </cell>
        </row>
        <row r="31">
          <cell r="A31" t="str">
            <v>RF-P150DEG</v>
          </cell>
        </row>
        <row r="36">
          <cell r="A36" t="str">
            <v>RF-P150DBAGA /GC</v>
          </cell>
        </row>
        <row r="41">
          <cell r="A41" t="str">
            <v>RF-P150DGS</v>
          </cell>
        </row>
        <row r="46">
          <cell r="A46" t="str">
            <v>RF-P150DPP-S</v>
          </cell>
        </row>
        <row r="51">
          <cell r="A51" t="str">
            <v>RF-2400DEG /EB /EE</v>
          </cell>
        </row>
        <row r="56">
          <cell r="A56" t="str">
            <v>RF-2400DGN /LJ</v>
          </cell>
        </row>
        <row r="61">
          <cell r="A61" t="str">
            <v>RF-2400DPC /DP</v>
          </cell>
        </row>
        <row r="66">
          <cell r="A66" t="str">
            <v>RF-2400DGT</v>
          </cell>
        </row>
        <row r="71">
          <cell r="A71" t="str">
            <v>RF-2450-S</v>
          </cell>
        </row>
        <row r="76">
          <cell r="A76" t="str">
            <v>R-2255-S</v>
          </cell>
        </row>
        <row r="81">
          <cell r="A81" t="str">
            <v>REF_PASTA [2nd_CM+RH 100V]</v>
          </cell>
          <cell r="AU81" t="str">
            <v>REF_PASTA [1st_CM+RH 100V]</v>
          </cell>
        </row>
        <row r="86">
          <cell r="A86" t="str">
            <v>ARBPC2C00670</v>
          </cell>
        </row>
        <row r="91">
          <cell r="A91" t="str">
            <v>REF-LED-2 (BG-181293)</v>
          </cell>
        </row>
        <row r="96">
          <cell r="A96" t="str">
            <v>REF-LED-3 (BG-319100)</v>
          </cell>
        </row>
        <row r="101">
          <cell r="A101" t="str">
            <v>BB220</v>
          </cell>
        </row>
        <row r="106">
          <cell r="A106" t="str">
            <v>BB240</v>
          </cell>
        </row>
        <row r="111">
          <cell r="A111" t="str">
            <v>LED ARBPLLA00750 &lt;RH&gt;</v>
          </cell>
        </row>
        <row r="116">
          <cell r="A116" t="str">
            <v>LED-BB [ARBPLLA00302]</v>
          </cell>
        </row>
        <row r="121">
          <cell r="A121" t="str">
            <v>VR-BB [ARBP01A00260]</v>
          </cell>
        </row>
        <row r="126">
          <cell r="A126" t="str">
            <v>FREEZER [BG-188654]</v>
          </cell>
        </row>
        <row r="131">
          <cell r="A131" t="str">
            <v>LED FREEZER [BG-188642]</v>
          </cell>
        </row>
        <row r="136">
          <cell r="A136" t="str">
            <v>REF_PASTA [2nd_CM+RH 200V]</v>
          </cell>
          <cell r="AU136" t="str">
            <v>REF_PASTA [1st_CM+RH 200V]</v>
          </cell>
        </row>
        <row r="141">
          <cell r="A141" t="str">
            <v>LED-44600 (ACXE39C01500)</v>
          </cell>
        </row>
        <row r="146">
          <cell r="A146" t="str">
            <v>ACXA73-37130</v>
          </cell>
        </row>
        <row r="151">
          <cell r="A151" t="str">
            <v>LED-22280 [ACXE39C01000ID]</v>
          </cell>
        </row>
        <row r="156">
          <cell r="A156" t="str">
            <v>RF-NA35R-S &lt;B&gt;</v>
          </cell>
          <cell r="AU156" t="str">
            <v>RF-NA35R-S &lt;A&gt;</v>
          </cell>
        </row>
        <row r="161">
          <cell r="A161" t="str">
            <v>RF-D10 [KEY/SUB-MAIN]</v>
          </cell>
        </row>
        <row r="166">
          <cell r="A166" t="str">
            <v>RF-D10 &lt;B&gt; [MAIN]</v>
          </cell>
          <cell r="AU166" t="str">
            <v>RF-D10 &lt;A&gt; [MAIN]</v>
          </cell>
        </row>
        <row r="171">
          <cell r="A171" t="str">
            <v>RF-U156-S</v>
          </cell>
        </row>
        <row r="176">
          <cell r="A176" t="str">
            <v>RF-5270LJK</v>
          </cell>
        </row>
        <row r="181">
          <cell r="A181" t="str">
            <v>RF-562DD2GCK1</v>
          </cell>
        </row>
        <row r="186">
          <cell r="A186" t="str">
            <v>ACXA73-50470</v>
          </cell>
        </row>
        <row r="191">
          <cell r="A191" t="str">
            <v>ACXA73-50480</v>
          </cell>
        </row>
        <row r="196">
          <cell r="A196" t="str">
            <v xml:space="preserve">LED-49380 </v>
          </cell>
        </row>
        <row r="201">
          <cell r="A201" t="str">
            <v>ACXA73-52800</v>
          </cell>
        </row>
        <row r="206">
          <cell r="A206" t="str">
            <v>ACXA73-52810</v>
          </cell>
        </row>
        <row r="211">
          <cell r="A211" t="str">
            <v>LED-49390</v>
          </cell>
        </row>
        <row r="216">
          <cell r="A216" t="str">
            <v>ACXA73-48700</v>
          </cell>
        </row>
        <row r="221">
          <cell r="A221" t="str">
            <v>2nd_ACXA73-50110</v>
          </cell>
          <cell r="AU221" t="str">
            <v>1st_ACXA73-50110</v>
          </cell>
        </row>
        <row r="226">
          <cell r="A226" t="str">
            <v>ACXA73-53420</v>
          </cell>
        </row>
        <row r="231">
          <cell r="A231" t="str">
            <v>ACXA73-52820</v>
          </cell>
        </row>
        <row r="236">
          <cell r="A236" t="str">
            <v>LED-51390</v>
          </cell>
        </row>
        <row r="241">
          <cell r="A241" t="str">
            <v>ACXA73-51410</v>
          </cell>
        </row>
        <row r="246">
          <cell r="A246" t="str">
            <v>2nd_ACXA73-50120</v>
          </cell>
          <cell r="AU246" t="str">
            <v>1st_ACXA73-50120</v>
          </cell>
        </row>
        <row r="251">
          <cell r="A251" t="str">
            <v>ACXA73-52830</v>
          </cell>
        </row>
        <row r="256">
          <cell r="A256" t="str">
            <v>LED-51400</v>
          </cell>
        </row>
        <row r="261">
          <cell r="A261" t="str">
            <v>ARBGBA301650</v>
          </cell>
        </row>
        <row r="266">
          <cell r="A266" t="str">
            <v>BG-213400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410B-2F43-4CD1-978A-5340CD5B3528}">
  <sheetPr>
    <tabColor theme="1"/>
  </sheetPr>
  <dimension ref="A1:AT113"/>
  <sheetViews>
    <sheetView showGridLines="0" tabSelected="1" zoomScale="92" zoomScaleNormal="92" zoomScaleSheetLayoutView="34" workbookViewId="0">
      <pane xSplit="16" ySplit="6" topLeftCell="Q7" activePane="bottomRight" state="frozen"/>
      <selection pane="topRight" activeCell="Q1" sqref="Q1"/>
      <selection pane="bottomLeft" activeCell="A7" sqref="A7"/>
      <selection pane="bottomRight" activeCell="D4" sqref="D4"/>
    </sheetView>
  </sheetViews>
  <sheetFormatPr defaultRowHeight="15" customHeight="1" x14ac:dyDescent="0.35"/>
  <cols>
    <col min="1" max="1" width="0.26953125" customWidth="1"/>
    <col min="2" max="2" width="3.7265625" customWidth="1"/>
    <col min="3" max="3" width="1.453125" customWidth="1"/>
    <col min="4" max="4" width="18.7265625" style="15" customWidth="1"/>
    <col min="5" max="5" width="3.26953125" style="15" customWidth="1"/>
    <col min="6" max="6" width="5.453125" style="15" customWidth="1"/>
    <col min="7" max="7" width="7.7265625" style="15" customWidth="1"/>
    <col min="8" max="8" width="1.453125" style="15" customWidth="1"/>
    <col min="9" max="9" width="18.7265625" style="15" customWidth="1"/>
    <col min="10" max="10" width="3.26953125" style="15" customWidth="1"/>
    <col min="11" max="11" width="5.453125" style="15" customWidth="1"/>
    <col min="12" max="12" width="7.7265625" style="15" customWidth="1"/>
    <col min="13" max="13" width="1.453125" style="15" customWidth="1"/>
    <col min="14" max="14" width="18.7265625" style="15" customWidth="1"/>
    <col min="15" max="15" width="3.26953125" style="15" customWidth="1"/>
    <col min="16" max="16" width="5.453125" style="15" customWidth="1"/>
    <col min="17" max="17" width="7.7265625" style="15" customWidth="1"/>
    <col min="18" max="18" width="0.26953125" customWidth="1"/>
    <col min="19" max="19" width="18.7265625" style="6" customWidth="1"/>
    <col min="20" max="20" width="24.7265625" style="6" customWidth="1"/>
    <col min="21" max="21" width="1.7265625" customWidth="1"/>
    <col min="22" max="22" width="23.1796875" bestFit="1" customWidth="1"/>
    <col min="23" max="30" width="7.7265625" customWidth="1"/>
    <col min="31" max="31" width="2.7265625" customWidth="1"/>
    <col min="32" max="32" width="4.7265625" customWidth="1"/>
    <col min="33" max="33" width="2" customWidth="1"/>
    <col min="34" max="36" width="6.54296875" style="7" customWidth="1"/>
    <col min="38" max="38" width="25.7265625" style="8" customWidth="1"/>
    <col min="40" max="44" width="6.7265625" style="8" customWidth="1"/>
  </cols>
  <sheetData>
    <row r="1" spans="1:46" ht="5.15" customHeight="1" x14ac:dyDescent="0.35">
      <c r="A1" s="1"/>
      <c r="B1" s="379" t="s">
        <v>0</v>
      </c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2"/>
      <c r="N1" s="3"/>
      <c r="O1" s="3"/>
      <c r="P1" s="3"/>
      <c r="Q1" s="3"/>
      <c r="R1" s="4"/>
      <c r="S1" s="5"/>
      <c r="AN1"/>
      <c r="AO1"/>
      <c r="AP1"/>
      <c r="AQ1"/>
      <c r="AR1"/>
    </row>
    <row r="2" spans="1:46" ht="15" customHeight="1" x14ac:dyDescent="0.35">
      <c r="A2" s="9"/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10"/>
      <c r="N2" s="11"/>
      <c r="O2" s="11"/>
      <c r="P2" s="11"/>
      <c r="Q2" s="11"/>
      <c r="R2" s="12"/>
      <c r="S2" s="13" t="str">
        <f>[1]Produksi!A146</f>
        <v>ACXA73-37130</v>
      </c>
      <c r="T2" s="14" t="str">
        <f>[1]Produksi!A196</f>
        <v xml:space="preserve">LED-49380 </v>
      </c>
      <c r="AN2"/>
      <c r="AO2"/>
      <c r="AP2"/>
      <c r="AQ2"/>
      <c r="AR2"/>
    </row>
    <row r="3" spans="1:46" ht="15" customHeight="1" x14ac:dyDescent="0.35">
      <c r="A3" s="9"/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10"/>
      <c r="R3" s="12"/>
      <c r="S3" s="16" t="str">
        <f>[1]Produksi!A201</f>
        <v>ACXA73-52800</v>
      </c>
      <c r="T3" s="17" t="str">
        <f>[1]Produksi!A211</f>
        <v>LED-49390</v>
      </c>
      <c r="AN3"/>
      <c r="AO3"/>
      <c r="AP3"/>
      <c r="AQ3"/>
      <c r="AR3"/>
    </row>
    <row r="4" spans="1:46" ht="15" customHeight="1" x14ac:dyDescent="0.35">
      <c r="A4" s="18" t="s">
        <v>1</v>
      </c>
      <c r="B4" s="382" t="s">
        <v>94</v>
      </c>
      <c r="C4" s="382"/>
      <c r="D4" s="381"/>
      <c r="E4" s="377" t="s">
        <v>2</v>
      </c>
      <c r="F4" s="377"/>
      <c r="G4" s="377"/>
      <c r="H4" s="377"/>
      <c r="I4" s="376" t="s">
        <v>3</v>
      </c>
      <c r="J4" s="378" t="s">
        <v>4</v>
      </c>
      <c r="K4" s="378"/>
      <c r="L4" s="378"/>
      <c r="M4" s="19"/>
      <c r="N4" s="20"/>
      <c r="O4" s="20"/>
      <c r="P4" s="20"/>
      <c r="Q4" s="20"/>
      <c r="R4" s="12"/>
      <c r="S4" s="16" t="str">
        <f>[1]Produksi!A226</f>
        <v>ACXA73-53420</v>
      </c>
      <c r="T4" s="21" t="str">
        <f>[1]Produksi!A231</f>
        <v>ACXA73-52820</v>
      </c>
      <c r="AH4" s="22" t="s">
        <v>5</v>
      </c>
      <c r="AI4" s="22" t="s">
        <v>6</v>
      </c>
      <c r="AJ4" s="22" t="s">
        <v>7</v>
      </c>
      <c r="AN4"/>
      <c r="AO4"/>
      <c r="AP4"/>
      <c r="AQ4"/>
      <c r="AR4"/>
    </row>
    <row r="5" spans="1:46" ht="15" customHeight="1" x14ac:dyDescent="0.35">
      <c r="A5" s="9"/>
      <c r="B5" s="23" t="s">
        <v>8</v>
      </c>
      <c r="C5" s="24" t="s">
        <v>9</v>
      </c>
      <c r="D5" s="25"/>
      <c r="E5" s="26"/>
      <c r="F5" s="27"/>
      <c r="G5" s="28"/>
      <c r="H5" s="29" t="s">
        <v>10</v>
      </c>
      <c r="I5" s="375"/>
      <c r="J5" s="31" t="s">
        <v>11</v>
      </c>
      <c r="K5" s="30"/>
      <c r="L5" s="32"/>
      <c r="M5" s="29" t="s">
        <v>12</v>
      </c>
      <c r="N5" s="30"/>
      <c r="O5" s="31" t="s">
        <v>13</v>
      </c>
      <c r="P5" s="30"/>
      <c r="Q5" s="33"/>
      <c r="R5" s="12"/>
      <c r="S5" s="16" t="str">
        <f>[1]Produksi!A206</f>
        <v>ACXA73-52810</v>
      </c>
      <c r="T5" s="21" t="str">
        <f>[1]Produksi!A251</f>
        <v>ACXA73-52830</v>
      </c>
      <c r="W5" s="34"/>
      <c r="X5" s="34"/>
      <c r="Y5" s="34"/>
      <c r="Z5" s="34"/>
      <c r="AF5" s="35" t="s">
        <v>8</v>
      </c>
      <c r="AG5" s="36"/>
      <c r="AH5" s="37" t="s">
        <v>14</v>
      </c>
      <c r="AI5" s="38" t="s">
        <v>14</v>
      </c>
      <c r="AJ5" s="39" t="s">
        <v>14</v>
      </c>
      <c r="AM5" s="40"/>
      <c r="AN5" s="41" t="s">
        <v>15</v>
      </c>
      <c r="AO5" s="40"/>
      <c r="AP5" s="40"/>
      <c r="AQ5" s="40"/>
      <c r="AR5" s="41" t="s">
        <v>16</v>
      </c>
      <c r="AS5" s="40"/>
      <c r="AT5" s="40"/>
    </row>
    <row r="6" spans="1:46" ht="15" customHeight="1" thickBot="1" x14ac:dyDescent="0.4">
      <c r="A6" s="9"/>
      <c r="B6" s="42" t="s">
        <v>17</v>
      </c>
      <c r="C6" s="43" t="s">
        <v>18</v>
      </c>
      <c r="D6" s="44"/>
      <c r="E6" s="45" t="s">
        <v>19</v>
      </c>
      <c r="F6" s="46" t="s">
        <v>20</v>
      </c>
      <c r="G6" s="47" t="s">
        <v>21</v>
      </c>
      <c r="H6" s="48" t="s">
        <v>18</v>
      </c>
      <c r="I6" s="49"/>
      <c r="J6" s="50" t="s">
        <v>19</v>
      </c>
      <c r="K6" s="46" t="s">
        <v>20</v>
      </c>
      <c r="L6" s="47" t="s">
        <v>21</v>
      </c>
      <c r="M6" s="48" t="s">
        <v>18</v>
      </c>
      <c r="N6" s="49"/>
      <c r="O6" s="50" t="s">
        <v>19</v>
      </c>
      <c r="P6" s="46" t="s">
        <v>20</v>
      </c>
      <c r="Q6" s="51" t="s">
        <v>21</v>
      </c>
      <c r="R6" s="12"/>
      <c r="S6" s="52"/>
      <c r="T6" s="53"/>
      <c r="V6" s="54" t="s">
        <v>22</v>
      </c>
      <c r="W6" s="55" t="s">
        <v>23</v>
      </c>
      <c r="X6" s="56" t="s">
        <v>24</v>
      </c>
      <c r="Y6" s="56" t="s">
        <v>25</v>
      </c>
      <c r="Z6" s="56" t="s">
        <v>26</v>
      </c>
      <c r="AA6" s="56" t="s">
        <v>27</v>
      </c>
      <c r="AB6" s="56" t="s">
        <v>28</v>
      </c>
      <c r="AC6" s="56" t="s">
        <v>29</v>
      </c>
      <c r="AD6" s="57" t="s">
        <v>30</v>
      </c>
      <c r="AF6" s="58" t="s">
        <v>17</v>
      </c>
      <c r="AG6" s="59"/>
      <c r="AH6" s="60" t="s">
        <v>31</v>
      </c>
      <c r="AI6" s="61" t="s">
        <v>32</v>
      </c>
      <c r="AJ6" s="62" t="s">
        <v>33</v>
      </c>
      <c r="AM6" s="40" t="s">
        <v>34</v>
      </c>
      <c r="AN6" s="40" t="s">
        <v>35</v>
      </c>
      <c r="AO6" s="40" t="s">
        <v>36</v>
      </c>
      <c r="AP6" s="40" t="s">
        <v>37</v>
      </c>
      <c r="AQ6" s="40" t="s">
        <v>34</v>
      </c>
      <c r="AR6" s="40" t="s">
        <v>35</v>
      </c>
      <c r="AS6" s="40" t="s">
        <v>36</v>
      </c>
      <c r="AT6" s="40" t="s">
        <v>37</v>
      </c>
    </row>
    <row r="7" spans="1:46" ht="15" customHeight="1" thickTop="1" x14ac:dyDescent="0.35">
      <c r="A7" s="9"/>
      <c r="B7" s="63" t="s">
        <v>38</v>
      </c>
      <c r="C7" s="64" t="s">
        <v>39</v>
      </c>
      <c r="D7" s="65"/>
      <c r="E7" s="66">
        <f>(F7*AH7)</f>
        <v>0</v>
      </c>
      <c r="F7" s="67"/>
      <c r="G7" s="68"/>
      <c r="H7" s="69" t="s">
        <v>39</v>
      </c>
      <c r="I7" s="70"/>
      <c r="J7" s="71">
        <f>(K7*AI7)</f>
        <v>0</v>
      </c>
      <c r="K7" s="67"/>
      <c r="L7" s="68"/>
      <c r="M7" s="72" t="s">
        <v>39</v>
      </c>
      <c r="N7" s="73"/>
      <c r="O7" s="71">
        <f>(P7*AJ7)</f>
        <v>0</v>
      </c>
      <c r="P7" s="67"/>
      <c r="Q7" s="74"/>
      <c r="R7" s="12"/>
      <c r="S7" s="17" t="str">
        <f>[1]Produksi!A186</f>
        <v>ACXA73-50470</v>
      </c>
      <c r="T7" s="75" t="str">
        <f>[1]Produksi!A151</f>
        <v>LED-22280 [ACXE39C01000ID]</v>
      </c>
      <c r="V7" s="76" t="str">
        <f>T30</f>
        <v>RF-P50DGC /GU /GT /PR /LJ-S</v>
      </c>
      <c r="W7" s="77" t="s">
        <v>40</v>
      </c>
      <c r="X7" s="78">
        <v>0.14000000000000001</v>
      </c>
      <c r="Y7" s="78">
        <v>0.14000000000000001</v>
      </c>
      <c r="Z7" s="79" t="s">
        <v>40</v>
      </c>
      <c r="AA7" s="78">
        <v>0.13</v>
      </c>
      <c r="AB7" s="78">
        <f>AC7*0.97</f>
        <v>0.35210999999999998</v>
      </c>
      <c r="AC7" s="80">
        <v>0.36299999999999999</v>
      </c>
      <c r="AD7" s="81">
        <v>0.155</v>
      </c>
      <c r="AF7" s="82" t="s">
        <v>38</v>
      </c>
      <c r="AG7" s="83" t="s">
        <v>39</v>
      </c>
      <c r="AH7" s="84">
        <f t="shared" ref="AH7:AH12" si="0">SUMIF(V:V,D7,X:X)</f>
        <v>0</v>
      </c>
      <c r="AI7" s="85">
        <f t="shared" ref="AI7:AI12" si="1">SUMIF(V:V,I7,X:X)</f>
        <v>0</v>
      </c>
      <c r="AJ7" s="86">
        <f t="shared" ref="AJ7:AJ12" si="2">SUMIF(V:V,N7,X:X)</f>
        <v>0</v>
      </c>
      <c r="AM7" s="40">
        <f t="shared" ref="AM7:AM12" si="3">G7</f>
        <v>0</v>
      </c>
      <c r="AN7" s="40">
        <f t="shared" ref="AN7:AN12" si="4">L7</f>
        <v>0</v>
      </c>
      <c r="AO7" s="40">
        <f t="shared" ref="AO7:AO12" si="5">Q7</f>
        <v>0</v>
      </c>
      <c r="AP7" s="40"/>
      <c r="AQ7" s="40">
        <f t="shared" ref="AQ7:AS12" si="6">AH7*AM7</f>
        <v>0</v>
      </c>
      <c r="AR7" s="40">
        <f t="shared" si="6"/>
        <v>0</v>
      </c>
      <c r="AS7" s="40">
        <f t="shared" si="6"/>
        <v>0</v>
      </c>
      <c r="AT7" s="40"/>
    </row>
    <row r="8" spans="1:46" ht="15" customHeight="1" x14ac:dyDescent="0.35">
      <c r="A8" s="9"/>
      <c r="B8" s="87" t="s">
        <v>41</v>
      </c>
      <c r="C8" s="88" t="s">
        <v>42</v>
      </c>
      <c r="D8" s="89"/>
      <c r="E8" s="90">
        <f>IF(F8*AH8=0,0,IF(F8*AH8&gt;0,F8*AH8+10))</f>
        <v>0</v>
      </c>
      <c r="F8" s="91"/>
      <c r="G8" s="92"/>
      <c r="H8" s="93" t="s">
        <v>42</v>
      </c>
      <c r="I8" s="89"/>
      <c r="J8" s="90">
        <f>IF(K8*AI8=0,0,IF(K8*AI8&gt;0,K8*AI8+10))</f>
        <v>0</v>
      </c>
      <c r="K8" s="91"/>
      <c r="L8" s="92"/>
      <c r="M8" s="93" t="s">
        <v>42</v>
      </c>
      <c r="N8" s="89"/>
      <c r="O8" s="90">
        <f>IF(P8*AJ8=0,0,IF(P8*AJ8&gt;0,P8*AJ8+10))</f>
        <v>0</v>
      </c>
      <c r="P8" s="91"/>
      <c r="Q8" s="94"/>
      <c r="R8" s="12"/>
      <c r="S8" s="75" t="str">
        <f>[1]Produksi!A191</f>
        <v>ACXA73-50480</v>
      </c>
      <c r="T8" s="75" t="str">
        <f>[1]Produksi!A141</f>
        <v>LED-44600 (ACXE39C01500)</v>
      </c>
      <c r="V8" s="76" t="str">
        <f>T31</f>
        <v>RF-P50DEG</v>
      </c>
      <c r="W8" s="77" t="s">
        <v>40</v>
      </c>
      <c r="X8" s="78">
        <v>0.14000000000000001</v>
      </c>
      <c r="Y8" s="78">
        <v>0.14000000000000001</v>
      </c>
      <c r="Z8" s="79" t="s">
        <v>40</v>
      </c>
      <c r="AA8" s="78">
        <v>0.13</v>
      </c>
      <c r="AB8" s="78">
        <f>AC8*0.97</f>
        <v>0.39672999999999997</v>
      </c>
      <c r="AC8" s="80">
        <v>0.40899999999999997</v>
      </c>
      <c r="AD8" s="81">
        <v>0.16500000000000001</v>
      </c>
      <c r="AF8" s="82" t="s">
        <v>41</v>
      </c>
      <c r="AG8" s="95" t="s">
        <v>42</v>
      </c>
      <c r="AH8" s="84">
        <f t="shared" si="0"/>
        <v>0</v>
      </c>
      <c r="AI8" s="85">
        <f t="shared" si="1"/>
        <v>0</v>
      </c>
      <c r="AJ8" s="86">
        <f t="shared" si="2"/>
        <v>0</v>
      </c>
      <c r="AM8" s="40">
        <f t="shared" si="3"/>
        <v>0</v>
      </c>
      <c r="AN8" s="40">
        <f t="shared" si="4"/>
        <v>0</v>
      </c>
      <c r="AO8" s="40">
        <f t="shared" si="5"/>
        <v>0</v>
      </c>
      <c r="AP8" s="40"/>
      <c r="AQ8" s="40">
        <f t="shared" si="6"/>
        <v>0</v>
      </c>
      <c r="AR8" s="40">
        <f t="shared" si="6"/>
        <v>0</v>
      </c>
      <c r="AS8" s="40">
        <f t="shared" si="6"/>
        <v>0</v>
      </c>
      <c r="AT8" s="40"/>
    </row>
    <row r="9" spans="1:46" ht="15" customHeight="1" x14ac:dyDescent="0.35">
      <c r="A9" s="9"/>
      <c r="B9" s="96" t="s">
        <v>43</v>
      </c>
      <c r="C9" s="88" t="s">
        <v>44</v>
      </c>
      <c r="D9" s="97"/>
      <c r="E9" s="90">
        <f>IF(F9*AH9=0,0,IF(F9*AH9&gt;0,F9*AH9+10))</f>
        <v>0</v>
      </c>
      <c r="F9" s="91"/>
      <c r="G9" s="92"/>
      <c r="H9" s="93" t="s">
        <v>44</v>
      </c>
      <c r="I9" s="97"/>
      <c r="J9" s="90">
        <f>IF(K9*AI9=0,0,IF(K9*AI9&gt;0,K9*AI9+10))</f>
        <v>0</v>
      </c>
      <c r="K9" s="91"/>
      <c r="L9" s="92"/>
      <c r="M9" s="93" t="s">
        <v>44</v>
      </c>
      <c r="N9" s="97"/>
      <c r="O9" s="90">
        <f>IF(P9*AJ9=0,0,IF(P9*AJ9&gt;0,P9*AJ9+10))</f>
        <v>0</v>
      </c>
      <c r="P9" s="91"/>
      <c r="Q9" s="94"/>
      <c r="R9" s="12"/>
      <c r="S9" s="98"/>
      <c r="T9" s="99"/>
      <c r="V9" s="76" t="str">
        <f>T32</f>
        <v>RF-P50DPP-S</v>
      </c>
      <c r="W9" s="77" t="s">
        <v>40</v>
      </c>
      <c r="X9" s="78">
        <v>0.14000000000000001</v>
      </c>
      <c r="Y9" s="78">
        <v>0.14000000000000001</v>
      </c>
      <c r="Z9" s="79" t="s">
        <v>40</v>
      </c>
      <c r="AA9" s="78">
        <v>0.13</v>
      </c>
      <c r="AB9" s="78">
        <f>AC9*0.97</f>
        <v>0.37345</v>
      </c>
      <c r="AC9" s="80">
        <v>0.38500000000000001</v>
      </c>
      <c r="AD9" s="81">
        <v>0.155</v>
      </c>
      <c r="AF9" s="100" t="s">
        <v>43</v>
      </c>
      <c r="AG9" s="95" t="s">
        <v>44</v>
      </c>
      <c r="AH9" s="84">
        <f t="shared" si="0"/>
        <v>0</v>
      </c>
      <c r="AI9" s="85">
        <f t="shared" si="1"/>
        <v>0</v>
      </c>
      <c r="AJ9" s="86">
        <f t="shared" si="2"/>
        <v>0</v>
      </c>
      <c r="AM9" s="40">
        <f t="shared" si="3"/>
        <v>0</v>
      </c>
      <c r="AN9" s="40">
        <f t="shared" si="4"/>
        <v>0</v>
      </c>
      <c r="AO9" s="40">
        <f t="shared" si="5"/>
        <v>0</v>
      </c>
      <c r="AP9" s="40"/>
      <c r="AQ9" s="40">
        <f t="shared" si="6"/>
        <v>0</v>
      </c>
      <c r="AR9" s="40">
        <f t="shared" si="6"/>
        <v>0</v>
      </c>
      <c r="AS9" s="40">
        <f t="shared" si="6"/>
        <v>0</v>
      </c>
      <c r="AT9" s="40"/>
    </row>
    <row r="10" spans="1:46" ht="15" customHeight="1" x14ac:dyDescent="0.35">
      <c r="A10" s="9"/>
      <c r="B10" s="101" t="s">
        <v>45</v>
      </c>
      <c r="C10" s="102" t="s">
        <v>46</v>
      </c>
      <c r="D10" s="103"/>
      <c r="E10" s="90">
        <f>IF(F10*AH10=0,0,IF(F10*AH10&gt;0,F10*AH10+10))</f>
        <v>0</v>
      </c>
      <c r="F10" s="104"/>
      <c r="G10" s="105"/>
      <c r="H10" s="106" t="s">
        <v>46</v>
      </c>
      <c r="I10" s="103"/>
      <c r="J10" s="90">
        <f>IF(K10*AI10=0,0,IF(K10*AI10&gt;0,K10*AI10+10))</f>
        <v>0</v>
      </c>
      <c r="K10" s="104"/>
      <c r="L10" s="105"/>
      <c r="M10" s="106" t="s">
        <v>46</v>
      </c>
      <c r="N10" s="103"/>
      <c r="O10" s="90">
        <f>IF(P10*AJ10=0,0,IF(P10*AJ10&gt;0,P10*AJ10+10))</f>
        <v>0</v>
      </c>
      <c r="P10" s="104"/>
      <c r="Q10" s="107"/>
      <c r="R10" s="12"/>
      <c r="S10" s="75" t="str">
        <f>[1]Produksi!A216</f>
        <v>ACXA73-48700</v>
      </c>
      <c r="T10" s="17" t="str">
        <f>[1]Produksi!A236</f>
        <v>LED-51390</v>
      </c>
      <c r="V10" s="76" t="str">
        <f>T34</f>
        <v>RF-P55-S</v>
      </c>
      <c r="W10" s="77" t="s">
        <v>40</v>
      </c>
      <c r="X10" s="78">
        <v>0.14000000000000001</v>
      </c>
      <c r="Y10" s="78">
        <v>0.14000000000000001</v>
      </c>
      <c r="Z10" s="79" t="s">
        <v>40</v>
      </c>
      <c r="AA10" s="78">
        <v>0.109</v>
      </c>
      <c r="AB10" s="80">
        <v>0.315</v>
      </c>
      <c r="AC10" s="80">
        <v>0.32400000000000001</v>
      </c>
      <c r="AD10" s="81">
        <v>0.155</v>
      </c>
      <c r="AF10" s="108" t="s">
        <v>45</v>
      </c>
      <c r="AG10" s="95" t="s">
        <v>46</v>
      </c>
      <c r="AH10" s="84">
        <f t="shared" si="0"/>
        <v>0</v>
      </c>
      <c r="AI10" s="85">
        <f t="shared" si="1"/>
        <v>0</v>
      </c>
      <c r="AJ10" s="86">
        <f t="shared" si="2"/>
        <v>0</v>
      </c>
      <c r="AM10" s="40">
        <f t="shared" si="3"/>
        <v>0</v>
      </c>
      <c r="AN10" s="40">
        <f t="shared" si="4"/>
        <v>0</v>
      </c>
      <c r="AO10" s="40">
        <f t="shared" si="5"/>
        <v>0</v>
      </c>
      <c r="AP10" s="40"/>
      <c r="AQ10" s="40">
        <f t="shared" si="6"/>
        <v>0</v>
      </c>
      <c r="AR10" s="40">
        <f t="shared" si="6"/>
        <v>0</v>
      </c>
      <c r="AS10" s="40">
        <f t="shared" si="6"/>
        <v>0</v>
      </c>
      <c r="AT10" s="40"/>
    </row>
    <row r="11" spans="1:46" ht="15" customHeight="1" x14ac:dyDescent="0.35">
      <c r="A11" s="9"/>
      <c r="B11" s="101"/>
      <c r="C11" s="88" t="s">
        <v>47</v>
      </c>
      <c r="D11" s="89"/>
      <c r="E11" s="90">
        <f>IF(F11*AH11=0,0,IF(F11*AH11&gt;0,F11*AH11+10))</f>
        <v>0</v>
      </c>
      <c r="F11" s="91"/>
      <c r="G11" s="92"/>
      <c r="H11" s="93" t="s">
        <v>47</v>
      </c>
      <c r="I11" s="89"/>
      <c r="J11" s="90">
        <f>IF(K11*AI11=0,0,IF(K11*AI11&gt;0,K11*AI11+10))</f>
        <v>0</v>
      </c>
      <c r="K11" s="91"/>
      <c r="L11" s="92"/>
      <c r="M11" s="93" t="s">
        <v>47</v>
      </c>
      <c r="N11" s="89"/>
      <c r="O11" s="90">
        <f>IF(P11*AJ11=0,0,IF(P11*AJ11&gt;0,P11*AJ11+10))</f>
        <v>0</v>
      </c>
      <c r="P11" s="91"/>
      <c r="Q11" s="94"/>
      <c r="R11" s="12"/>
      <c r="S11" s="75" t="str">
        <f>[1]Produksi!A241</f>
        <v>ACXA73-51410</v>
      </c>
      <c r="T11" s="17" t="str">
        <f>[1]Produksi!A256</f>
        <v>LED-51400</v>
      </c>
      <c r="V11" s="76" t="str">
        <f>S34</f>
        <v>RF-P155-S</v>
      </c>
      <c r="W11" s="77" t="s">
        <v>40</v>
      </c>
      <c r="X11" s="78">
        <v>0.14000000000000001</v>
      </c>
      <c r="Y11" s="78">
        <v>0.14000000000000001</v>
      </c>
      <c r="Z11" s="79" t="s">
        <v>40</v>
      </c>
      <c r="AA11" s="78">
        <v>0.109</v>
      </c>
      <c r="AB11" s="78">
        <f>AC11*0.97</f>
        <v>0.37830000000000003</v>
      </c>
      <c r="AC11" s="80">
        <v>0.39</v>
      </c>
      <c r="AD11" s="81">
        <v>0.16500000000000001</v>
      </c>
      <c r="AF11" s="108"/>
      <c r="AG11" s="95" t="s">
        <v>47</v>
      </c>
      <c r="AH11" s="84">
        <f t="shared" si="0"/>
        <v>0</v>
      </c>
      <c r="AI11" s="85">
        <f t="shared" si="1"/>
        <v>0</v>
      </c>
      <c r="AJ11" s="86">
        <f t="shared" si="2"/>
        <v>0</v>
      </c>
      <c r="AM11" s="40">
        <f t="shared" si="3"/>
        <v>0</v>
      </c>
      <c r="AN11" s="40">
        <f t="shared" si="4"/>
        <v>0</v>
      </c>
      <c r="AO11" s="40">
        <f t="shared" si="5"/>
        <v>0</v>
      </c>
      <c r="AP11" s="40"/>
      <c r="AQ11" s="40">
        <f t="shared" si="6"/>
        <v>0</v>
      </c>
      <c r="AR11" s="40">
        <f t="shared" si="6"/>
        <v>0</v>
      </c>
      <c r="AS11" s="40">
        <f t="shared" si="6"/>
        <v>0</v>
      </c>
      <c r="AT11" s="40"/>
    </row>
    <row r="12" spans="1:46" ht="15" customHeight="1" x14ac:dyDescent="0.35">
      <c r="A12" s="9"/>
      <c r="B12" s="96"/>
      <c r="C12" s="102" t="s">
        <v>48</v>
      </c>
      <c r="D12" s="103"/>
      <c r="E12" s="109">
        <f>IF(F12*AH12=0,0,IF(F12*AH12&gt;0,F12*AH12+10))</f>
        <v>0</v>
      </c>
      <c r="F12" s="104"/>
      <c r="G12" s="105"/>
      <c r="H12" s="106" t="s">
        <v>48</v>
      </c>
      <c r="I12" s="103"/>
      <c r="J12" s="109">
        <f>IF(K12*AI12=0,0,IF(K12*AI12&gt;0,K12*AI12+10))</f>
        <v>0</v>
      </c>
      <c r="K12" s="104"/>
      <c r="L12" s="105"/>
      <c r="M12" s="106" t="s">
        <v>48</v>
      </c>
      <c r="N12" s="103"/>
      <c r="O12" s="109">
        <f>IF(P12*AJ12=0,0,IF(P12*AJ12&gt;0,P12*AJ12+10))</f>
        <v>0</v>
      </c>
      <c r="P12" s="104"/>
      <c r="Q12" s="107"/>
      <c r="R12" s="12"/>
      <c r="S12" s="75" t="str">
        <f>[1]Produksi!AU221</f>
        <v>1st_ACXA73-50110</v>
      </c>
      <c r="T12" s="75" t="str">
        <f>[1]Produksi!AU246</f>
        <v>1st_ACXA73-50120</v>
      </c>
      <c r="V12" s="76" t="str">
        <f>S31</f>
        <v>RF-P150DBAGA /GC</v>
      </c>
      <c r="W12" s="77" t="s">
        <v>40</v>
      </c>
      <c r="X12" s="78">
        <v>0.14000000000000001</v>
      </c>
      <c r="Y12" s="78">
        <v>0.14000000000000001</v>
      </c>
      <c r="Z12" s="79" t="s">
        <v>40</v>
      </c>
      <c r="AA12" s="78">
        <v>0.10890000000000001</v>
      </c>
      <c r="AB12" s="78">
        <f>AC12*0.97</f>
        <v>0.36375000000000002</v>
      </c>
      <c r="AC12" s="80">
        <v>0.375</v>
      </c>
      <c r="AD12" s="81">
        <v>0.16500000000000001</v>
      </c>
      <c r="AF12" s="100"/>
      <c r="AG12" s="95" t="s">
        <v>48</v>
      </c>
      <c r="AH12" s="84">
        <f t="shared" si="0"/>
        <v>0</v>
      </c>
      <c r="AI12" s="85">
        <f t="shared" si="1"/>
        <v>0</v>
      </c>
      <c r="AJ12" s="86">
        <f t="shared" si="2"/>
        <v>0</v>
      </c>
      <c r="AM12" s="40">
        <f t="shared" si="3"/>
        <v>0</v>
      </c>
      <c r="AN12" s="40">
        <f t="shared" si="4"/>
        <v>0</v>
      </c>
      <c r="AO12" s="40">
        <f t="shared" si="5"/>
        <v>0</v>
      </c>
      <c r="AP12" s="40"/>
      <c r="AQ12" s="40">
        <f t="shared" si="6"/>
        <v>0</v>
      </c>
      <c r="AR12" s="40">
        <f t="shared" si="6"/>
        <v>0</v>
      </c>
      <c r="AS12" s="40">
        <f t="shared" si="6"/>
        <v>0</v>
      </c>
      <c r="AT12" s="40"/>
    </row>
    <row r="13" spans="1:46" ht="15" customHeight="1" x14ac:dyDescent="0.35">
      <c r="A13" s="9"/>
      <c r="B13" s="110">
        <f>E13+J13+O13</f>
        <v>0</v>
      </c>
      <c r="C13" s="111"/>
      <c r="D13" s="112"/>
      <c r="E13" s="113">
        <f>SUM(E7:E12)</f>
        <v>0</v>
      </c>
      <c r="F13" s="114"/>
      <c r="G13" s="115"/>
      <c r="H13" s="116"/>
      <c r="I13" s="112"/>
      <c r="J13" s="113">
        <f>SUM(J7:J12)</f>
        <v>0</v>
      </c>
      <c r="K13" s="114"/>
      <c r="L13" s="115"/>
      <c r="M13" s="116"/>
      <c r="N13" s="112"/>
      <c r="O13" s="113">
        <f>SUM(O7:O12)</f>
        <v>0</v>
      </c>
      <c r="P13" s="114"/>
      <c r="Q13" s="117"/>
      <c r="R13" s="12"/>
      <c r="S13" s="75" t="str">
        <f>[1]Produksi!A221</f>
        <v>2nd_ACXA73-50110</v>
      </c>
      <c r="T13" s="75" t="str">
        <f>[1]Produksi!A246</f>
        <v>2nd_ACXA73-50120</v>
      </c>
      <c r="V13" s="76" t="str">
        <f>S30</f>
        <v>RF-P150DEG</v>
      </c>
      <c r="W13" s="77" t="s">
        <v>40</v>
      </c>
      <c r="X13" s="78">
        <v>0.14000000000000001</v>
      </c>
      <c r="Y13" s="78">
        <v>0.14000000000000001</v>
      </c>
      <c r="Z13" s="79" t="s">
        <v>40</v>
      </c>
      <c r="AA13" s="78">
        <v>0.10890000000000001</v>
      </c>
      <c r="AB13" s="78">
        <f>AC13*0.97</f>
        <v>0.37345</v>
      </c>
      <c r="AC13" s="80">
        <v>0.38500000000000001</v>
      </c>
      <c r="AD13" s="81">
        <v>0.155</v>
      </c>
      <c r="AF13" s="118"/>
      <c r="AG13" s="119"/>
      <c r="AH13" s="120"/>
      <c r="AI13" s="121"/>
      <c r="AJ13" s="122"/>
      <c r="AM13" s="123">
        <f>SUM(AM7:AM12)</f>
        <v>0</v>
      </c>
      <c r="AN13" s="123">
        <f>SUM(AN7:AN12)</f>
        <v>0</v>
      </c>
      <c r="AO13" s="123">
        <f>SUM(AO7:AO12)</f>
        <v>0</v>
      </c>
      <c r="AP13" s="124">
        <f>SUM(AM13:AO13)</f>
        <v>0</v>
      </c>
      <c r="AQ13" s="123">
        <f>SUM(AQ7:AQ12)</f>
        <v>0</v>
      </c>
      <c r="AR13" s="123">
        <f>SUM(AR7:AR12)</f>
        <v>0</v>
      </c>
      <c r="AS13" s="123">
        <f>SUM(AS7:AS12)</f>
        <v>0</v>
      </c>
      <c r="AT13" s="124">
        <f>SUM(AQ13:AS13)</f>
        <v>0</v>
      </c>
    </row>
    <row r="14" spans="1:46" ht="15" customHeight="1" x14ac:dyDescent="0.35">
      <c r="A14" s="9"/>
      <c r="B14" s="125" t="s">
        <v>38</v>
      </c>
      <c r="C14" s="126" t="s">
        <v>39</v>
      </c>
      <c r="D14" s="127"/>
      <c r="E14" s="128">
        <f>(F14*AH14)</f>
        <v>0</v>
      </c>
      <c r="F14" s="129"/>
      <c r="G14" s="130"/>
      <c r="H14" s="131" t="s">
        <v>39</v>
      </c>
      <c r="I14" s="127"/>
      <c r="J14" s="132">
        <f>(K14*AI14)</f>
        <v>0</v>
      </c>
      <c r="K14" s="129"/>
      <c r="L14" s="130"/>
      <c r="M14" s="131" t="s">
        <v>39</v>
      </c>
      <c r="N14" s="127"/>
      <c r="O14" s="132">
        <f>(P14*AJ14)</f>
        <v>0</v>
      </c>
      <c r="P14" s="129"/>
      <c r="Q14" s="133"/>
      <c r="R14" s="12"/>
      <c r="S14" s="98"/>
      <c r="T14" s="99"/>
      <c r="V14" s="76" t="str">
        <f>S33</f>
        <v>RF-P150DGS</v>
      </c>
      <c r="W14" s="77" t="s">
        <v>40</v>
      </c>
      <c r="X14" s="78">
        <v>0.14000000000000001</v>
      </c>
      <c r="Y14" s="78">
        <v>0.14000000000000001</v>
      </c>
      <c r="Z14" s="79" t="s">
        <v>40</v>
      </c>
      <c r="AA14" s="78">
        <v>0.10890000000000001</v>
      </c>
      <c r="AB14" s="78">
        <f>AC14*0.97</f>
        <v>0.37345</v>
      </c>
      <c r="AC14" s="80">
        <v>0.38500000000000001</v>
      </c>
      <c r="AD14" s="81">
        <v>0.155</v>
      </c>
      <c r="AF14" s="134" t="s">
        <v>38</v>
      </c>
      <c r="AG14" s="135" t="s">
        <v>39</v>
      </c>
      <c r="AH14" s="136">
        <f>SUMIF(V:V,D14,X:X)</f>
        <v>0</v>
      </c>
      <c r="AI14" s="137">
        <f>SUMIF(V:V,I14,X:X)</f>
        <v>0</v>
      </c>
      <c r="AJ14" s="138">
        <f>SUMIF(V:V,N14,X:X)</f>
        <v>0</v>
      </c>
      <c r="AM14" s="40">
        <f>G14</f>
        <v>0</v>
      </c>
      <c r="AN14" s="40">
        <f>L14</f>
        <v>0</v>
      </c>
      <c r="AO14" s="40">
        <f>Q14</f>
        <v>0</v>
      </c>
      <c r="AP14" s="40"/>
      <c r="AQ14" s="40">
        <f t="shared" ref="AQ14:AS18" si="7">AH14*AM14</f>
        <v>0</v>
      </c>
      <c r="AR14" s="40">
        <f t="shared" si="7"/>
        <v>0</v>
      </c>
      <c r="AS14" s="40">
        <f t="shared" si="7"/>
        <v>0</v>
      </c>
      <c r="AT14" s="40"/>
    </row>
    <row r="15" spans="1:46" ht="15" customHeight="1" x14ac:dyDescent="0.35">
      <c r="A15" s="9"/>
      <c r="B15" s="87" t="s">
        <v>41</v>
      </c>
      <c r="C15" s="88" t="s">
        <v>42</v>
      </c>
      <c r="D15" s="89"/>
      <c r="E15" s="90">
        <f>IF(F15*AH15=0,0,IF(F15*AH15&gt;0,F15*AH15+10))</f>
        <v>0</v>
      </c>
      <c r="F15" s="91"/>
      <c r="G15" s="92"/>
      <c r="H15" s="93" t="s">
        <v>42</v>
      </c>
      <c r="I15" s="89"/>
      <c r="J15" s="90">
        <f>IF(K15*AI15=0,0,IF(K15*AI15&gt;0,K15*AI15+10))</f>
        <v>0</v>
      </c>
      <c r="K15" s="91"/>
      <c r="L15" s="92"/>
      <c r="M15" s="93" t="s">
        <v>42</v>
      </c>
      <c r="N15" s="89"/>
      <c r="O15" s="90">
        <f>IF(P15*AJ15=0,0,IF(P15*AJ15&gt;0,P15*AJ15+10))</f>
        <v>0</v>
      </c>
      <c r="P15" s="91"/>
      <c r="Q15" s="94"/>
      <c r="R15" s="12"/>
      <c r="S15" s="139" t="str">
        <f>[1]Produksi!A101</f>
        <v>BB220</v>
      </c>
      <c r="T15" s="140" t="str">
        <f>[1]Produksi!A116</f>
        <v>LED-BB [ARBPLLA00302]</v>
      </c>
      <c r="V15" s="76" t="str">
        <f>S32</f>
        <v>RF-P150DPP-S</v>
      </c>
      <c r="W15" s="77" t="s">
        <v>40</v>
      </c>
      <c r="X15" s="78">
        <v>0.14000000000000001</v>
      </c>
      <c r="Y15" s="78">
        <v>0.14000000000000001</v>
      </c>
      <c r="Z15" s="79" t="s">
        <v>40</v>
      </c>
      <c r="AA15" s="78">
        <v>0.10890000000000001</v>
      </c>
      <c r="AB15" s="78">
        <f>AC15*0.97</f>
        <v>0.37345</v>
      </c>
      <c r="AC15" s="80">
        <v>0.38500000000000001</v>
      </c>
      <c r="AD15" s="81">
        <v>0.155</v>
      </c>
      <c r="AF15" s="82" t="s">
        <v>41</v>
      </c>
      <c r="AG15" s="95" t="s">
        <v>42</v>
      </c>
      <c r="AH15" s="136">
        <f>SUMIF(V:V,D15,X:X)</f>
        <v>0</v>
      </c>
      <c r="AI15" s="137">
        <f>SUMIF(V:V,I15,X:X)</f>
        <v>0</v>
      </c>
      <c r="AJ15" s="138">
        <f>SUMIF(V:V,N15,X:X)</f>
        <v>0</v>
      </c>
      <c r="AM15" s="40">
        <f>G15</f>
        <v>0</v>
      </c>
      <c r="AN15" s="40">
        <f>L15</f>
        <v>0</v>
      </c>
      <c r="AO15" s="40">
        <f>Q15</f>
        <v>0</v>
      </c>
      <c r="AP15" s="40"/>
      <c r="AQ15" s="40">
        <f t="shared" si="7"/>
        <v>0</v>
      </c>
      <c r="AR15" s="40">
        <f t="shared" si="7"/>
        <v>0</v>
      </c>
      <c r="AS15" s="40">
        <f t="shared" si="7"/>
        <v>0</v>
      </c>
      <c r="AT15" s="40"/>
    </row>
    <row r="16" spans="1:46" ht="15" customHeight="1" x14ac:dyDescent="0.35">
      <c r="A16" s="9"/>
      <c r="B16" s="96" t="s">
        <v>43</v>
      </c>
      <c r="C16" s="88" t="s">
        <v>44</v>
      </c>
      <c r="D16" s="89"/>
      <c r="E16" s="90">
        <f>IF(F16*AH16=0,0,IF(F16*AH16&gt;0,F16*AH16+10))</f>
        <v>0</v>
      </c>
      <c r="F16" s="91"/>
      <c r="G16" s="92"/>
      <c r="H16" s="93" t="s">
        <v>44</v>
      </c>
      <c r="I16" s="89"/>
      <c r="J16" s="90">
        <f>IF(K16*AI16=0,0,IF(K16*AI16&gt;0,K16*AI16+10))</f>
        <v>0</v>
      </c>
      <c r="K16" s="91"/>
      <c r="L16" s="92"/>
      <c r="M16" s="93" t="s">
        <v>44</v>
      </c>
      <c r="N16" s="89"/>
      <c r="O16" s="90">
        <f>IF(P16*AJ16=0,0,IF(P16*AJ16&gt;0,P16*AJ16+10))</f>
        <v>0</v>
      </c>
      <c r="P16" s="91"/>
      <c r="Q16" s="94"/>
      <c r="R16" s="12"/>
      <c r="S16" s="139" t="str">
        <f>[1]Produksi!A106</f>
        <v>BB240</v>
      </c>
      <c r="T16" s="141" t="str">
        <f>[1]Produksi!A91</f>
        <v>REF-LED-2 (BG-181293)</v>
      </c>
      <c r="V16" s="76"/>
      <c r="W16" s="77"/>
      <c r="X16" s="78"/>
      <c r="Y16" s="78"/>
      <c r="Z16" s="79"/>
      <c r="AA16" s="78"/>
      <c r="AB16" s="78"/>
      <c r="AC16" s="80"/>
      <c r="AD16" s="81"/>
      <c r="AF16" s="100" t="s">
        <v>43</v>
      </c>
      <c r="AG16" s="95" t="s">
        <v>44</v>
      </c>
      <c r="AH16" s="136">
        <f>SUMIF(V:V,D16,X:X)</f>
        <v>0</v>
      </c>
      <c r="AI16" s="137">
        <f>SUMIF(V:V,I16,X:X)</f>
        <v>0</v>
      </c>
      <c r="AJ16" s="138">
        <f>SUMIF(V:V,N16,X:X)</f>
        <v>0</v>
      </c>
      <c r="AM16" s="40">
        <f>G16</f>
        <v>0</v>
      </c>
      <c r="AN16" s="40">
        <f>L16</f>
        <v>0</v>
      </c>
      <c r="AO16" s="40">
        <f>Q16</f>
        <v>0</v>
      </c>
      <c r="AP16" s="40"/>
      <c r="AQ16" s="40">
        <f t="shared" si="7"/>
        <v>0</v>
      </c>
      <c r="AR16" s="40">
        <f t="shared" si="7"/>
        <v>0</v>
      </c>
      <c r="AS16" s="40">
        <f t="shared" si="7"/>
        <v>0</v>
      </c>
      <c r="AT16" s="40"/>
    </row>
    <row r="17" spans="1:46" ht="15" customHeight="1" x14ac:dyDescent="0.35">
      <c r="A17" s="9"/>
      <c r="B17" s="101" t="s">
        <v>49</v>
      </c>
      <c r="C17" s="102" t="s">
        <v>46</v>
      </c>
      <c r="D17" s="89"/>
      <c r="E17" s="90">
        <f>IF(F17*AH17=0,0,IF(F17*AH17&gt;0,F17*AH17+10))</f>
        <v>0</v>
      </c>
      <c r="F17" s="91"/>
      <c r="G17" s="92"/>
      <c r="H17" s="93" t="s">
        <v>46</v>
      </c>
      <c r="I17" s="89"/>
      <c r="J17" s="90">
        <f>IF(K17*AI17=0,0,IF(K17*AI17&gt;0,K17*AI17+10))</f>
        <v>0</v>
      </c>
      <c r="K17" s="91"/>
      <c r="L17" s="92"/>
      <c r="M17" s="93" t="s">
        <v>46</v>
      </c>
      <c r="N17" s="89"/>
      <c r="O17" s="90">
        <f>IF(P17*AJ17=0,0,IF(P17*AJ17&gt;0,P17*AJ17+10))</f>
        <v>0</v>
      </c>
      <c r="P17" s="91"/>
      <c r="Q17" s="94"/>
      <c r="R17" s="12"/>
      <c r="S17" s="141" t="str">
        <f>[1]Produksi!AU81</f>
        <v>REF_PASTA [1st_CM+RH 100V]</v>
      </c>
      <c r="T17" s="141" t="str">
        <f>[1]Produksi!A96</f>
        <v>REF-LED-3 (BG-319100)</v>
      </c>
      <c r="V17" s="76" t="str">
        <f t="shared" ref="V17:V22" si="8">S23</f>
        <v>RF-2400DEG /EB /EE</v>
      </c>
      <c r="W17" s="77" t="s">
        <v>40</v>
      </c>
      <c r="X17" s="78">
        <v>0.14000000000000001</v>
      </c>
      <c r="Y17" s="78">
        <v>0.14000000000000001</v>
      </c>
      <c r="Z17" s="79" t="s">
        <v>40</v>
      </c>
      <c r="AA17" s="78">
        <v>0.108</v>
      </c>
      <c r="AB17" s="80">
        <v>0.34</v>
      </c>
      <c r="AC17" s="80">
        <v>0.32200000000000001</v>
      </c>
      <c r="AD17" s="81">
        <v>0.16300000000000001</v>
      </c>
      <c r="AF17" s="108" t="s">
        <v>49</v>
      </c>
      <c r="AG17" s="95" t="s">
        <v>46</v>
      </c>
      <c r="AH17" s="136">
        <f>SUMIF(V:V,D17,X:X)</f>
        <v>0</v>
      </c>
      <c r="AI17" s="137">
        <f>SUMIF(V:V,I17,X:X)</f>
        <v>0</v>
      </c>
      <c r="AJ17" s="138">
        <f>SUMIF(V:V,N17,X:X)</f>
        <v>0</v>
      </c>
      <c r="AM17" s="40">
        <f>G17</f>
        <v>0</v>
      </c>
      <c r="AN17" s="40">
        <f>L17</f>
        <v>0</v>
      </c>
      <c r="AO17" s="40">
        <f>Q17</f>
        <v>0</v>
      </c>
      <c r="AP17" s="40"/>
      <c r="AQ17" s="40">
        <f t="shared" si="7"/>
        <v>0</v>
      </c>
      <c r="AR17" s="40">
        <f t="shared" si="7"/>
        <v>0</v>
      </c>
      <c r="AS17" s="40">
        <f t="shared" si="7"/>
        <v>0</v>
      </c>
      <c r="AT17" s="40"/>
    </row>
    <row r="18" spans="1:46" ht="15" customHeight="1" x14ac:dyDescent="0.35">
      <c r="A18" s="9"/>
      <c r="B18" s="101"/>
      <c r="C18" s="102" t="s">
        <v>47</v>
      </c>
      <c r="D18" s="103"/>
      <c r="E18" s="109">
        <f>IF(F18*AH18=0,0,IF(F18*AH18&gt;0,F18*AH18+10))</f>
        <v>0</v>
      </c>
      <c r="F18" s="104"/>
      <c r="G18" s="105"/>
      <c r="H18" s="106" t="s">
        <v>47</v>
      </c>
      <c r="I18" s="103"/>
      <c r="J18" s="109">
        <f>IF(K18*AI18=0,0,IF(K18*AI18&gt;0,K18*AI18+10))</f>
        <v>0</v>
      </c>
      <c r="K18" s="104"/>
      <c r="L18" s="105"/>
      <c r="M18" s="106" t="s">
        <v>47</v>
      </c>
      <c r="N18" s="103"/>
      <c r="O18" s="109">
        <f>IF(P18*AJ18=0,0,IF(P18*AJ18&gt;0,P18*AJ18+10))</f>
        <v>0</v>
      </c>
      <c r="P18" s="104"/>
      <c r="Q18" s="107"/>
      <c r="R18" s="12"/>
      <c r="S18" s="141" t="str">
        <f>[1]Produksi!A86</f>
        <v>ARBPC2C00670</v>
      </c>
      <c r="T18" s="140" t="str">
        <f>[1]Produksi!A111</f>
        <v>LED ARBPLLA00750 &lt;RH&gt;</v>
      </c>
      <c r="V18" s="76" t="str">
        <f t="shared" si="8"/>
        <v>RF-2400DGN /LJ</v>
      </c>
      <c r="W18" s="77" t="s">
        <v>40</v>
      </c>
      <c r="X18" s="78">
        <v>0.14000000000000001</v>
      </c>
      <c r="Y18" s="78">
        <v>0.14000000000000001</v>
      </c>
      <c r="Z18" s="79" t="s">
        <v>40</v>
      </c>
      <c r="AA18" s="78">
        <v>0.15840000000000001</v>
      </c>
      <c r="AB18" s="142">
        <v>0.24399999999999999</v>
      </c>
      <c r="AC18" s="80">
        <v>0.27200000000000002</v>
      </c>
      <c r="AD18" s="81">
        <v>0.16300000000000001</v>
      </c>
      <c r="AF18" s="108"/>
      <c r="AG18" s="95" t="s">
        <v>47</v>
      </c>
      <c r="AH18" s="136">
        <f>SUMIF(V:V,D18,X:X)</f>
        <v>0</v>
      </c>
      <c r="AI18" s="137">
        <f>SUMIF(V:V,I18,X:X)</f>
        <v>0</v>
      </c>
      <c r="AJ18" s="138">
        <f>SUMIF(V:V,N18,X:X)</f>
        <v>0</v>
      </c>
      <c r="AM18" s="40">
        <f>G18</f>
        <v>0</v>
      </c>
      <c r="AN18" s="40">
        <f>L18</f>
        <v>0</v>
      </c>
      <c r="AO18" s="40">
        <f>Q18</f>
        <v>0</v>
      </c>
      <c r="AP18" s="40"/>
      <c r="AQ18" s="40">
        <f t="shared" si="7"/>
        <v>0</v>
      </c>
      <c r="AR18" s="40">
        <f t="shared" si="7"/>
        <v>0</v>
      </c>
      <c r="AS18" s="40">
        <f t="shared" si="7"/>
        <v>0</v>
      </c>
      <c r="AT18" s="40"/>
    </row>
    <row r="19" spans="1:46" ht="15" customHeight="1" thickBot="1" x14ac:dyDescent="0.4">
      <c r="A19" s="9"/>
      <c r="B19" s="110">
        <f>E19+J19+O19</f>
        <v>0</v>
      </c>
      <c r="C19" s="143"/>
      <c r="D19" s="144"/>
      <c r="E19" s="145">
        <f>SUM(E14:E18)</f>
        <v>0</v>
      </c>
      <c r="F19" s="146"/>
      <c r="G19" s="147"/>
      <c r="H19" s="148"/>
      <c r="I19" s="144"/>
      <c r="J19" s="145">
        <f>SUM(J14:J18)</f>
        <v>0</v>
      </c>
      <c r="K19" s="146"/>
      <c r="L19" s="147"/>
      <c r="M19" s="148"/>
      <c r="N19" s="144"/>
      <c r="O19" s="149">
        <f>SUM(O14:O18)</f>
        <v>0</v>
      </c>
      <c r="P19" s="146"/>
      <c r="Q19" s="150"/>
      <c r="R19" s="12"/>
      <c r="S19" s="140" t="str">
        <f>[1]Produksi!A126</f>
        <v>FREEZER [BG-188654]</v>
      </c>
      <c r="T19" s="140" t="str">
        <f>[1]Produksi!A131</f>
        <v>LED FREEZER [BG-188642]</v>
      </c>
      <c r="V19" s="76" t="str">
        <f t="shared" si="8"/>
        <v>RF-2400DPC /DP</v>
      </c>
      <c r="W19" s="77" t="s">
        <v>40</v>
      </c>
      <c r="X19" s="78">
        <v>0.14000000000000001</v>
      </c>
      <c r="Y19" s="78">
        <v>0.14000000000000001</v>
      </c>
      <c r="Z19" s="79" t="s">
        <v>40</v>
      </c>
      <c r="AA19" s="78">
        <v>0.15840000000000001</v>
      </c>
      <c r="AB19" s="142">
        <v>0.27600000000000002</v>
      </c>
      <c r="AC19" s="80">
        <v>0.30499999999999999</v>
      </c>
      <c r="AD19" s="81">
        <v>0.14299999999999999</v>
      </c>
      <c r="AF19" s="100"/>
      <c r="AG19" s="151"/>
      <c r="AH19" s="152"/>
      <c r="AI19" s="153"/>
      <c r="AJ19" s="154"/>
      <c r="AM19" s="123">
        <f>SUM(AM14:AM18)</f>
        <v>0</v>
      </c>
      <c r="AN19" s="123">
        <f>SUM(AN14:AN18)</f>
        <v>0</v>
      </c>
      <c r="AO19" s="123">
        <f>SUM(AO14:AO18)</f>
        <v>0</v>
      </c>
      <c r="AP19" s="124">
        <f>SUM(AM19:AO19)</f>
        <v>0</v>
      </c>
      <c r="AQ19" s="123">
        <f>SUM(AQ14:AQ18)</f>
        <v>0</v>
      </c>
      <c r="AR19" s="123">
        <f>SUM(AR14:AR18)</f>
        <v>0</v>
      </c>
      <c r="AS19" s="123">
        <f>SUM(AS14:AS18)</f>
        <v>0</v>
      </c>
      <c r="AT19" s="124">
        <f>SUM(AQ19:AS19)</f>
        <v>0</v>
      </c>
    </row>
    <row r="20" spans="1:46" ht="15" customHeight="1" thickTop="1" x14ac:dyDescent="0.35">
      <c r="A20" s="9"/>
      <c r="B20" s="155" t="s">
        <v>50</v>
      </c>
      <c r="C20" s="156" t="s">
        <v>39</v>
      </c>
      <c r="D20" s="157"/>
      <c r="E20" s="158">
        <f>(F20*AH20)</f>
        <v>0</v>
      </c>
      <c r="F20" s="159"/>
      <c r="G20" s="160"/>
      <c r="H20" s="161" t="s">
        <v>39</v>
      </c>
      <c r="I20" s="157"/>
      <c r="J20" s="162">
        <f>(K20*AI20)</f>
        <v>0</v>
      </c>
      <c r="K20" s="159"/>
      <c r="L20" s="163"/>
      <c r="M20" s="161" t="s">
        <v>39</v>
      </c>
      <c r="N20" s="157"/>
      <c r="O20" s="164">
        <f>(P20*AJ20)</f>
        <v>0</v>
      </c>
      <c r="P20" s="159"/>
      <c r="Q20" s="165"/>
      <c r="R20" s="12"/>
      <c r="S20" s="141" t="str">
        <f>[1]Produksi!A81</f>
        <v>REF_PASTA [2nd_CM+RH 100V]</v>
      </c>
      <c r="T20" s="140" t="str">
        <f>[1]Produksi!A121</f>
        <v>VR-BB [ARBP01A00260]</v>
      </c>
      <c r="V20" s="76" t="str">
        <f t="shared" si="8"/>
        <v>RF-2400DGT</v>
      </c>
      <c r="W20" s="77" t="s">
        <v>40</v>
      </c>
      <c r="X20" s="78">
        <v>0.14000000000000001</v>
      </c>
      <c r="Y20" s="78">
        <v>0.14000000000000001</v>
      </c>
      <c r="Z20" s="79" t="s">
        <v>40</v>
      </c>
      <c r="AA20" s="78">
        <v>0.108</v>
      </c>
      <c r="AB20" s="78">
        <f>AC20*0.97</f>
        <v>0.34434999999999999</v>
      </c>
      <c r="AC20" s="80">
        <v>0.35499999999999998</v>
      </c>
      <c r="AD20" s="81">
        <v>0.16300000000000001</v>
      </c>
      <c r="AF20" s="166" t="s">
        <v>50</v>
      </c>
      <c r="AG20" s="167" t="s">
        <v>39</v>
      </c>
      <c r="AH20" s="136">
        <f>SUMIF(V:V,D20,Z:Z)</f>
        <v>0</v>
      </c>
      <c r="AI20" s="137">
        <f>SUMIF(V:V,I20,Z:Z)</f>
        <v>0</v>
      </c>
      <c r="AJ20" s="138">
        <f>SUMIF(V:V,N20,Z:Z)</f>
        <v>0</v>
      </c>
      <c r="AM20" s="40">
        <f>G20</f>
        <v>0</v>
      </c>
      <c r="AN20" s="40">
        <f>L20</f>
        <v>0</v>
      </c>
      <c r="AO20" s="40">
        <f>Q20</f>
        <v>0</v>
      </c>
      <c r="AP20" s="40"/>
      <c r="AQ20" s="40">
        <f t="shared" ref="AQ20:AS23" si="9">AH20*AM20</f>
        <v>0</v>
      </c>
      <c r="AR20" s="40">
        <f t="shared" si="9"/>
        <v>0</v>
      </c>
      <c r="AS20" s="40">
        <f t="shared" si="9"/>
        <v>0</v>
      </c>
      <c r="AT20" s="40"/>
    </row>
    <row r="21" spans="1:46" ht="15" customHeight="1" x14ac:dyDescent="0.35">
      <c r="A21" s="9"/>
      <c r="B21" s="168" t="s">
        <v>41</v>
      </c>
      <c r="C21" s="102" t="s">
        <v>42</v>
      </c>
      <c r="D21" s="103"/>
      <c r="E21" s="169">
        <f>IF(F21*AH21=0,0,IF(F21*AH21&gt;0,F21*AH21+20))</f>
        <v>0</v>
      </c>
      <c r="F21" s="104"/>
      <c r="G21" s="170"/>
      <c r="H21" s="171" t="s">
        <v>42</v>
      </c>
      <c r="I21" s="103"/>
      <c r="J21" s="109">
        <f>IF(K21*AI21=0,0,IF(K21*AI21&gt;0,K21*AI21+20))</f>
        <v>0</v>
      </c>
      <c r="K21" s="104"/>
      <c r="L21" s="105"/>
      <c r="M21" s="171" t="s">
        <v>42</v>
      </c>
      <c r="N21" s="103"/>
      <c r="O21" s="169">
        <f>IF(P21*AJ21=0,0,IF(P21*AJ21&gt;0,P21*AJ21+20))</f>
        <v>0</v>
      </c>
      <c r="P21" s="104"/>
      <c r="Q21" s="172"/>
      <c r="R21" s="12"/>
      <c r="S21" s="173" t="str">
        <f>[1]Produksi!AU136</f>
        <v>REF_PASTA [1st_CM+RH 200V]</v>
      </c>
      <c r="T21" s="174" t="str">
        <f>[1]Produksi!A136</f>
        <v>REF_PASTA [2nd_CM+RH 200V]</v>
      </c>
      <c r="V21" s="76" t="str">
        <f t="shared" si="8"/>
        <v>RF-2450-S</v>
      </c>
      <c r="W21" s="77" t="s">
        <v>40</v>
      </c>
      <c r="X21" s="78">
        <v>0.14000000000000001</v>
      </c>
      <c r="Y21" s="78">
        <v>0.14000000000000001</v>
      </c>
      <c r="Z21" s="79" t="s">
        <v>40</v>
      </c>
      <c r="AA21" s="78">
        <v>0.109</v>
      </c>
      <c r="AB21" s="80">
        <v>0.26400000000000001</v>
      </c>
      <c r="AC21" s="80">
        <v>0.25800000000000001</v>
      </c>
      <c r="AD21" s="81">
        <v>0.14299999999999999</v>
      </c>
      <c r="AF21" s="175" t="s">
        <v>41</v>
      </c>
      <c r="AG21" s="176" t="s">
        <v>42</v>
      </c>
      <c r="AH21" s="136">
        <f>SUMIF(V:V,D21,Z:Z)</f>
        <v>0</v>
      </c>
      <c r="AI21" s="137">
        <f>SUMIF(V:V,I21,Z:Z)</f>
        <v>0</v>
      </c>
      <c r="AJ21" s="138">
        <f>SUMIF(V:V,N21,Z:Z)</f>
        <v>0</v>
      </c>
      <c r="AM21" s="40">
        <f>G21</f>
        <v>0</v>
      </c>
      <c r="AN21" s="40">
        <f>L21</f>
        <v>0</v>
      </c>
      <c r="AO21" s="40">
        <f>Q21</f>
        <v>0</v>
      </c>
      <c r="AP21" s="40"/>
      <c r="AQ21" s="40">
        <f t="shared" si="9"/>
        <v>0</v>
      </c>
      <c r="AR21" s="40">
        <f t="shared" si="9"/>
        <v>0</v>
      </c>
      <c r="AS21" s="40">
        <f t="shared" si="9"/>
        <v>0</v>
      </c>
      <c r="AT21" s="40"/>
    </row>
    <row r="22" spans="1:46" ht="15" customHeight="1" x14ac:dyDescent="0.35">
      <c r="A22" s="9"/>
      <c r="B22" s="177" t="s">
        <v>43</v>
      </c>
      <c r="C22" s="88" t="s">
        <v>51</v>
      </c>
      <c r="D22" s="89"/>
      <c r="E22" s="169">
        <f>IF(F22*AH22=0,0,IF(F22*AH22&gt;0,F22*AH22+20))</f>
        <v>0</v>
      </c>
      <c r="F22" s="91"/>
      <c r="G22" s="178"/>
      <c r="H22" s="179" t="s">
        <v>51</v>
      </c>
      <c r="I22" s="89"/>
      <c r="J22" s="109">
        <f>IF(K22*AI22=0,0,IF(K22*AI22&gt;0,K22*AI22+20))</f>
        <v>0</v>
      </c>
      <c r="K22" s="91"/>
      <c r="L22" s="92"/>
      <c r="M22" s="179" t="s">
        <v>51</v>
      </c>
      <c r="N22" s="89"/>
      <c r="O22" s="169">
        <f>IF(P22*AJ22=0,0,IF(P22*AJ22&gt;0,P22*AJ22+20))</f>
        <v>0</v>
      </c>
      <c r="P22" s="91"/>
      <c r="Q22" s="180"/>
      <c r="R22" s="12"/>
      <c r="S22" s="98"/>
      <c r="T22" s="99"/>
      <c r="V22" s="76" t="str">
        <f t="shared" si="8"/>
        <v>R-2255-S</v>
      </c>
      <c r="W22" s="77" t="s">
        <v>40</v>
      </c>
      <c r="X22" s="78">
        <v>0.14000000000000001</v>
      </c>
      <c r="Y22" s="78">
        <v>0.14000000000000001</v>
      </c>
      <c r="Z22" s="79" t="s">
        <v>40</v>
      </c>
      <c r="AA22" s="78">
        <v>0.109</v>
      </c>
      <c r="AB22" s="78">
        <f>AC22*0.97</f>
        <v>0.22309999999999999</v>
      </c>
      <c r="AC22" s="80">
        <v>0.23</v>
      </c>
      <c r="AD22" s="81">
        <v>0.14299999999999999</v>
      </c>
      <c r="AF22" s="181" t="s">
        <v>43</v>
      </c>
      <c r="AG22" s="182" t="s">
        <v>51</v>
      </c>
      <c r="AH22" s="136">
        <f>SUMIF(V:V,D22,Z:Z)</f>
        <v>0</v>
      </c>
      <c r="AI22" s="137">
        <f>SUMIF(V:V,I22,Z:Z)</f>
        <v>0</v>
      </c>
      <c r="AJ22" s="138">
        <f>SUMIF(V:V,N22,Z:Z)</f>
        <v>0</v>
      </c>
      <c r="AM22" s="40">
        <f>G22</f>
        <v>0</v>
      </c>
      <c r="AN22" s="40">
        <f>L22</f>
        <v>0</v>
      </c>
      <c r="AO22" s="40">
        <f>Q22</f>
        <v>0</v>
      </c>
      <c r="AP22" s="40"/>
      <c r="AQ22" s="40">
        <f t="shared" si="9"/>
        <v>0</v>
      </c>
      <c r="AR22" s="40">
        <f t="shared" si="9"/>
        <v>0</v>
      </c>
      <c r="AS22" s="40">
        <f t="shared" si="9"/>
        <v>0</v>
      </c>
      <c r="AT22" s="40"/>
    </row>
    <row r="23" spans="1:46" ht="15" customHeight="1" x14ac:dyDescent="0.35">
      <c r="A23" s="9"/>
      <c r="B23" s="168" t="s">
        <v>49</v>
      </c>
      <c r="C23" s="183" t="s">
        <v>52</v>
      </c>
      <c r="D23" s="97"/>
      <c r="E23" s="169">
        <f>IF(F23*AH23=0,0,IF(F23*AH23&gt;0,F23*AH23+20))</f>
        <v>0</v>
      </c>
      <c r="F23" s="184"/>
      <c r="G23" s="185"/>
      <c r="H23" s="186" t="s">
        <v>52</v>
      </c>
      <c r="I23" s="97"/>
      <c r="J23" s="109">
        <f>IF(K23*AI23=0,0,IF(K23*AI23&gt;0,K23*AI23+20))</f>
        <v>0</v>
      </c>
      <c r="K23" s="184"/>
      <c r="L23" s="187"/>
      <c r="M23" s="186" t="s">
        <v>52</v>
      </c>
      <c r="N23" s="97"/>
      <c r="O23" s="169">
        <f>IF(P23*AJ23=0,0,IF(P23*AJ23&gt;0,P23*AJ23+20))</f>
        <v>0</v>
      </c>
      <c r="P23" s="184"/>
      <c r="Q23" s="188"/>
      <c r="R23" s="12"/>
      <c r="S23" s="189" t="str">
        <f>[1]Produksi!A51</f>
        <v>RF-2400DEG /EB /EE</v>
      </c>
      <c r="T23" s="190" t="str">
        <f>[1]Produksi!AU156</f>
        <v>RF-NA35R-S &lt;A&gt;</v>
      </c>
      <c r="V23" s="76"/>
      <c r="W23" s="77"/>
      <c r="X23" s="78"/>
      <c r="Y23" s="78"/>
      <c r="Z23" s="79"/>
      <c r="AA23" s="78"/>
      <c r="AB23" s="78"/>
      <c r="AC23" s="80"/>
      <c r="AD23" s="81"/>
      <c r="AF23" s="175" t="s">
        <v>49</v>
      </c>
      <c r="AG23" s="191" t="s">
        <v>52</v>
      </c>
      <c r="AH23" s="136">
        <f>SUMIF(V:V,D23,Z:Z)</f>
        <v>0</v>
      </c>
      <c r="AI23" s="137">
        <f>SUMIF(V:V,I23,Z:Z)</f>
        <v>0</v>
      </c>
      <c r="AJ23" s="138">
        <f>SUMIF(V:V,N23,Z:Z)</f>
        <v>0</v>
      </c>
      <c r="AM23" s="40">
        <f>G23</f>
        <v>0</v>
      </c>
      <c r="AN23" s="40">
        <f>L23</f>
        <v>0</v>
      </c>
      <c r="AO23" s="40">
        <f>Q23</f>
        <v>0</v>
      </c>
      <c r="AP23" s="40"/>
      <c r="AQ23" s="40">
        <f t="shared" si="9"/>
        <v>0</v>
      </c>
      <c r="AR23" s="40">
        <f t="shared" si="9"/>
        <v>0</v>
      </c>
      <c r="AS23" s="40">
        <f t="shared" si="9"/>
        <v>0</v>
      </c>
      <c r="AT23" s="40"/>
    </row>
    <row r="24" spans="1:46" ht="15" customHeight="1" thickBot="1" x14ac:dyDescent="0.4">
      <c r="A24" s="9"/>
      <c r="B24" s="192"/>
      <c r="C24" s="193"/>
      <c r="D24" s="194"/>
      <c r="E24" s="195">
        <f>SUM(E20:E23)</f>
        <v>0</v>
      </c>
      <c r="F24" s="196"/>
      <c r="G24" s="197"/>
      <c r="H24" s="198"/>
      <c r="I24" s="194"/>
      <c r="J24" s="195">
        <f>SUM(J20:J23)</f>
        <v>0</v>
      </c>
      <c r="K24" s="196"/>
      <c r="L24" s="197"/>
      <c r="M24" s="198"/>
      <c r="N24" s="194"/>
      <c r="O24" s="195">
        <f>SUM(O20:O23)</f>
        <v>0</v>
      </c>
      <c r="P24" s="196"/>
      <c r="Q24" s="199"/>
      <c r="R24" s="12"/>
      <c r="S24" s="189" t="str">
        <f>[1]Produksi!A56</f>
        <v>RF-2400DGN /LJ</v>
      </c>
      <c r="T24" s="190" t="str">
        <f>[1]Produksi!A156</f>
        <v>RF-NA35R-S &lt;B&gt;</v>
      </c>
      <c r="V24" s="76" t="str">
        <f>S17</f>
        <v>REF_PASTA [1st_CM+RH 100V]</v>
      </c>
      <c r="W24" s="77" t="s">
        <v>40</v>
      </c>
      <c r="X24" s="78">
        <v>0.124</v>
      </c>
      <c r="Y24" s="78">
        <v>0.124</v>
      </c>
      <c r="Z24" s="78">
        <v>0.1</v>
      </c>
      <c r="AA24" s="78">
        <v>8.9100000000000013E-2</v>
      </c>
      <c r="AB24" s="78">
        <f>AC24*0.97</f>
        <v>0.52019159999999998</v>
      </c>
      <c r="AC24" s="80">
        <v>0.53627999999999998</v>
      </c>
      <c r="AD24" s="81">
        <v>0.26</v>
      </c>
      <c r="AF24" s="200"/>
      <c r="AG24" s="201"/>
      <c r="AH24" s="202"/>
      <c r="AI24" s="203"/>
      <c r="AJ24" s="204"/>
      <c r="AM24" s="123">
        <f>SUM(AM20:AM23)</f>
        <v>0</v>
      </c>
      <c r="AN24" s="123">
        <f>SUM(AN20:AN23)</f>
        <v>0</v>
      </c>
      <c r="AO24" s="123">
        <f>SUM(AO20:AO23)</f>
        <v>0</v>
      </c>
      <c r="AP24" s="124">
        <f>SUM(AM24:AO24)</f>
        <v>0</v>
      </c>
      <c r="AQ24" s="123">
        <f>SUM(AQ20:AQ23)</f>
        <v>0</v>
      </c>
      <c r="AR24" s="123">
        <f>SUM(AR20:AR23)</f>
        <v>0</v>
      </c>
      <c r="AS24" s="123">
        <f>SUM(AS20:AS23)</f>
        <v>0</v>
      </c>
      <c r="AT24" s="124">
        <f>SUM(AQ24:AS24)</f>
        <v>0</v>
      </c>
    </row>
    <row r="25" spans="1:46" ht="15" customHeight="1" thickTop="1" x14ac:dyDescent="0.35">
      <c r="A25" s="9"/>
      <c r="B25" s="205" t="s">
        <v>27</v>
      </c>
      <c r="C25" s="183" t="s">
        <v>39</v>
      </c>
      <c r="D25" s="206"/>
      <c r="E25" s="207">
        <f>(F25*AH25)</f>
        <v>0</v>
      </c>
      <c r="F25" s="184"/>
      <c r="G25" s="208"/>
      <c r="H25" s="209" t="s">
        <v>39</v>
      </c>
      <c r="I25" s="97"/>
      <c r="J25" s="207">
        <f>(K25*AI25)</f>
        <v>0</v>
      </c>
      <c r="K25" s="184"/>
      <c r="L25" s="208"/>
      <c r="M25" s="209" t="s">
        <v>39</v>
      </c>
      <c r="N25" s="206"/>
      <c r="O25" s="207">
        <f>(P25*AJ25)</f>
        <v>0</v>
      </c>
      <c r="P25" s="184"/>
      <c r="Q25" s="210"/>
      <c r="R25" s="12"/>
      <c r="S25" s="189" t="str">
        <f>[1]Produksi!A61</f>
        <v>RF-2400DPC /DP</v>
      </c>
      <c r="T25" s="190" t="str">
        <f>[1]Produksi!AU166</f>
        <v>RF-D10 &lt;A&gt; [MAIN]</v>
      </c>
      <c r="V25" s="76" t="str">
        <f>S18</f>
        <v>ARBPC2C00670</v>
      </c>
      <c r="W25" s="77" t="s">
        <v>40</v>
      </c>
      <c r="X25" s="78">
        <v>9.7166666666666679E-2</v>
      </c>
      <c r="Y25" s="78">
        <v>9.7166666666666679E-2</v>
      </c>
      <c r="Z25" s="78">
        <v>4.766666666666667E-2</v>
      </c>
      <c r="AA25" s="78">
        <v>9.1666666666666674E-2</v>
      </c>
      <c r="AB25" s="78">
        <f>AC25*0.97</f>
        <v>0.47724</v>
      </c>
      <c r="AC25" s="80">
        <v>0.49199999999999999</v>
      </c>
      <c r="AD25" s="81">
        <v>0.14666666666666667</v>
      </c>
      <c r="AF25" s="211" t="s">
        <v>27</v>
      </c>
      <c r="AG25" s="212" t="s">
        <v>39</v>
      </c>
      <c r="AH25" s="84">
        <f>SUMIF(V:V,D25,AA:AA)</f>
        <v>0</v>
      </c>
      <c r="AI25" s="85">
        <f>SUMIF(V:V,I25,AA:AA)</f>
        <v>0</v>
      </c>
      <c r="AJ25" s="86">
        <f>SUMIF(V:V,N25,AA:AA)</f>
        <v>0</v>
      </c>
      <c r="AM25" s="40">
        <f>G25</f>
        <v>0</v>
      </c>
      <c r="AN25" s="40">
        <f>L25</f>
        <v>0</v>
      </c>
      <c r="AO25" s="40">
        <f>Q25</f>
        <v>0</v>
      </c>
      <c r="AP25" s="40"/>
      <c r="AQ25" s="40">
        <f t="shared" ref="AQ25:AS28" si="10">AH25*AM25</f>
        <v>0</v>
      </c>
      <c r="AR25" s="40">
        <f t="shared" si="10"/>
        <v>0</v>
      </c>
      <c r="AS25" s="40">
        <f t="shared" si="10"/>
        <v>0</v>
      </c>
      <c r="AT25" s="40"/>
    </row>
    <row r="26" spans="1:46" ht="15" customHeight="1" x14ac:dyDescent="0.35">
      <c r="A26" s="9"/>
      <c r="B26" s="213" t="s">
        <v>53</v>
      </c>
      <c r="C26" s="88" t="s">
        <v>42</v>
      </c>
      <c r="D26" s="89"/>
      <c r="E26" s="90">
        <f>IF(F26*AH26=0,0,IF(F26*AH26&gt;0,F26*AH26+20))</f>
        <v>0</v>
      </c>
      <c r="F26" s="91"/>
      <c r="G26" s="214"/>
      <c r="H26" s="93" t="s">
        <v>42</v>
      </c>
      <c r="I26" s="89"/>
      <c r="J26" s="90">
        <f>IF(K26*AI26=0,0,IF(K26*AI26&gt;0,K26*AI26+20))</f>
        <v>0</v>
      </c>
      <c r="K26" s="91"/>
      <c r="L26" s="214"/>
      <c r="M26" s="93" t="s">
        <v>42</v>
      </c>
      <c r="N26" s="89"/>
      <c r="O26" s="90">
        <f>IF(P26*AJ26=0,0,IF(P26*AJ26&gt;0,P26*AJ26+20))</f>
        <v>0</v>
      </c>
      <c r="P26" s="91"/>
      <c r="Q26" s="215"/>
      <c r="R26" s="12"/>
      <c r="S26" s="189" t="str">
        <f>[1]Produksi!A66</f>
        <v>RF-2400DGT</v>
      </c>
      <c r="T26" s="190" t="str">
        <f>[1]Produksi!A166</f>
        <v>RF-D10 &lt;B&gt; [MAIN]</v>
      </c>
      <c r="V26" s="76" t="str">
        <f>S15</f>
        <v>BB220</v>
      </c>
      <c r="W26" s="77" t="s">
        <v>40</v>
      </c>
      <c r="X26" s="78">
        <v>0.24</v>
      </c>
      <c r="Y26" s="78">
        <v>0.24</v>
      </c>
      <c r="Z26" s="79" t="s">
        <v>40</v>
      </c>
      <c r="AA26" s="78">
        <v>0.8</v>
      </c>
      <c r="AB26" s="78"/>
      <c r="AC26" s="79" t="s">
        <v>40</v>
      </c>
      <c r="AD26" s="216">
        <v>0.46899999999999997</v>
      </c>
      <c r="AF26" s="217" t="s">
        <v>53</v>
      </c>
      <c r="AG26" s="95" t="s">
        <v>42</v>
      </c>
      <c r="AH26" s="84">
        <f>SUMIF(V:V,D26,AA:AA)</f>
        <v>0</v>
      </c>
      <c r="AI26" s="85">
        <f>SUMIF(V:V,I26,AA:AA)</f>
        <v>0</v>
      </c>
      <c r="AJ26" s="86">
        <f>SUMIF(V:V,N26,AA:AA)</f>
        <v>0</v>
      </c>
      <c r="AM26" s="40">
        <f>G26</f>
        <v>0</v>
      </c>
      <c r="AN26" s="40">
        <f>L26</f>
        <v>0</v>
      </c>
      <c r="AO26" s="40">
        <f>Q26</f>
        <v>0</v>
      </c>
      <c r="AP26" s="40"/>
      <c r="AQ26" s="40">
        <f t="shared" si="10"/>
        <v>0</v>
      </c>
      <c r="AR26" s="40">
        <f t="shared" si="10"/>
        <v>0</v>
      </c>
      <c r="AS26" s="40">
        <f t="shared" si="10"/>
        <v>0</v>
      </c>
      <c r="AT26" s="40"/>
    </row>
    <row r="27" spans="1:46" ht="15" customHeight="1" x14ac:dyDescent="0.35">
      <c r="A27" s="9"/>
      <c r="B27" s="205"/>
      <c r="C27" s="88" t="s">
        <v>44</v>
      </c>
      <c r="D27" s="89"/>
      <c r="E27" s="218">
        <f>IF(F27*AH27=0,0,IF(F27*AH27&gt;0,F27*AH27+20))</f>
        <v>0</v>
      </c>
      <c r="F27" s="91"/>
      <c r="G27" s="219"/>
      <c r="H27" s="93" t="s">
        <v>44</v>
      </c>
      <c r="I27" s="89"/>
      <c r="J27" s="90">
        <f>IF(K27*AI27=0,0,IF(K27*AI27&gt;0,K27*AI27+20))</f>
        <v>0</v>
      </c>
      <c r="K27" s="91"/>
      <c r="L27" s="214"/>
      <c r="M27" s="93" t="s">
        <v>44</v>
      </c>
      <c r="N27" s="89"/>
      <c r="O27" s="90">
        <f>IF(P27*AJ27=0,0,IF(P27*AJ27&gt;0,P27*AJ27+20))</f>
        <v>0</v>
      </c>
      <c r="P27" s="91"/>
      <c r="Q27" s="220"/>
      <c r="R27" s="12"/>
      <c r="S27" s="189" t="str">
        <f>[1]Produksi!A71</f>
        <v>RF-2450-S</v>
      </c>
      <c r="T27" s="221" t="str">
        <f>[1]Produksi!A161</f>
        <v>RF-D10 [KEY/SUB-MAIN]</v>
      </c>
      <c r="V27" s="76" t="str">
        <f>S16</f>
        <v>BB240</v>
      </c>
      <c r="W27" s="77" t="s">
        <v>40</v>
      </c>
      <c r="X27" s="78">
        <v>0.24</v>
      </c>
      <c r="Y27" s="78">
        <v>0.24</v>
      </c>
      <c r="Z27" s="79" t="s">
        <v>40</v>
      </c>
      <c r="AA27" s="78">
        <v>0.8</v>
      </c>
      <c r="AB27" s="78"/>
      <c r="AC27" s="79" t="s">
        <v>40</v>
      </c>
      <c r="AD27" s="216">
        <v>0.57899999999999996</v>
      </c>
      <c r="AF27" s="222"/>
      <c r="AG27" s="95" t="s">
        <v>44</v>
      </c>
      <c r="AH27" s="84">
        <f>SUMIF(V:V,D27,AA:AA)</f>
        <v>0</v>
      </c>
      <c r="AI27" s="85">
        <f>SUMIF(V:V,I27,AA:AA)</f>
        <v>0</v>
      </c>
      <c r="AJ27" s="86">
        <f>SUMIF(V:V,N27,AA:AA)</f>
        <v>0</v>
      </c>
      <c r="AM27" s="40">
        <f>G27</f>
        <v>0</v>
      </c>
      <c r="AN27" s="40">
        <f>L27</f>
        <v>0</v>
      </c>
      <c r="AO27" s="40">
        <f>Q27</f>
        <v>0</v>
      </c>
      <c r="AP27" s="40"/>
      <c r="AQ27" s="40">
        <f t="shared" si="10"/>
        <v>0</v>
      </c>
      <c r="AR27" s="40">
        <f t="shared" si="10"/>
        <v>0</v>
      </c>
      <c r="AS27" s="40">
        <f t="shared" si="10"/>
        <v>0</v>
      </c>
      <c r="AT27" s="40"/>
    </row>
    <row r="28" spans="1:46" ht="15" customHeight="1" x14ac:dyDescent="0.35">
      <c r="A28" s="9"/>
      <c r="B28" s="205"/>
      <c r="C28" s="102" t="s">
        <v>46</v>
      </c>
      <c r="D28" s="103"/>
      <c r="E28" s="169">
        <f>IF(F28*AH28=0,0,IF(F28*AH28&gt;0,F28*AH28+20))</f>
        <v>0</v>
      </c>
      <c r="F28" s="104"/>
      <c r="G28" s="223"/>
      <c r="H28" s="106" t="s">
        <v>46</v>
      </c>
      <c r="I28" s="103"/>
      <c r="J28" s="109">
        <f>IF(K28*AI28=0,0,IF(K28*AI28&gt;0,K28*AI28+20))</f>
        <v>0</v>
      </c>
      <c r="K28" s="104"/>
      <c r="L28" s="224"/>
      <c r="M28" s="106" t="s">
        <v>46</v>
      </c>
      <c r="N28" s="103"/>
      <c r="O28" s="109">
        <f>IF(P28*AJ28=0,0,IF(P28*AJ28&gt;0,P28*AJ28+20))</f>
        <v>0</v>
      </c>
      <c r="P28" s="104"/>
      <c r="Q28" s="225"/>
      <c r="R28" s="12"/>
      <c r="S28" s="189" t="str">
        <f>[1]Produksi!A76</f>
        <v>R-2255-S</v>
      </c>
      <c r="T28" s="17"/>
      <c r="V28" s="76" t="str">
        <f>S19</f>
        <v>FREEZER [BG-188654]</v>
      </c>
      <c r="W28" s="77" t="s">
        <v>40</v>
      </c>
      <c r="X28" s="78">
        <v>9.7166666666666679E-2</v>
      </c>
      <c r="Y28" s="78">
        <v>9.7166666666666679E-2</v>
      </c>
      <c r="Z28" s="78">
        <v>4.766666666666667E-2</v>
      </c>
      <c r="AA28" s="78">
        <v>9.1666666666666674E-2</v>
      </c>
      <c r="AB28" s="78">
        <f>AC28*0.97</f>
        <v>0.47724</v>
      </c>
      <c r="AC28" s="80">
        <v>0.49199999999999999</v>
      </c>
      <c r="AD28" s="81">
        <v>0.14666666666666667</v>
      </c>
      <c r="AF28" s="222"/>
      <c r="AG28" s="95" t="s">
        <v>46</v>
      </c>
      <c r="AH28" s="84">
        <f>SUMIF(V:V,D28,AA:AA)</f>
        <v>0</v>
      </c>
      <c r="AI28" s="85">
        <f>SUMIF(V:V,I28,AA:AA)</f>
        <v>0</v>
      </c>
      <c r="AJ28" s="86">
        <f>SUMIF(V:V,N28,AA:AA)</f>
        <v>0</v>
      </c>
      <c r="AM28" s="40">
        <f>G28</f>
        <v>0</v>
      </c>
      <c r="AN28" s="40">
        <f>L28</f>
        <v>0</v>
      </c>
      <c r="AO28" s="40">
        <f>Q28</f>
        <v>0</v>
      </c>
      <c r="AP28" s="40"/>
      <c r="AQ28" s="40">
        <f t="shared" si="10"/>
        <v>0</v>
      </c>
      <c r="AR28" s="40">
        <f t="shared" si="10"/>
        <v>0</v>
      </c>
      <c r="AS28" s="40">
        <f t="shared" si="10"/>
        <v>0</v>
      </c>
      <c r="AT28" s="40"/>
    </row>
    <row r="29" spans="1:46" ht="15" customHeight="1" x14ac:dyDescent="0.35">
      <c r="A29" s="9"/>
      <c r="B29" s="226"/>
      <c r="C29" s="111"/>
      <c r="D29" s="112"/>
      <c r="E29" s="227">
        <f>SUM(E25:E28)</f>
        <v>0</v>
      </c>
      <c r="F29" s="114"/>
      <c r="G29" s="228"/>
      <c r="H29" s="116"/>
      <c r="I29" s="112"/>
      <c r="J29" s="227">
        <f>SUM(J25:J28)</f>
        <v>0</v>
      </c>
      <c r="K29" s="114"/>
      <c r="L29" s="228"/>
      <c r="M29" s="116"/>
      <c r="N29" s="112"/>
      <c r="O29" s="227">
        <f>SUM(O25:O28)</f>
        <v>0</v>
      </c>
      <c r="P29" s="114"/>
      <c r="Q29" s="229"/>
      <c r="R29" s="12"/>
      <c r="S29" s="98"/>
      <c r="T29" s="99"/>
      <c r="V29" s="76" t="str">
        <f>T19</f>
        <v>LED FREEZER [BG-188642]</v>
      </c>
      <c r="W29" s="77" t="s">
        <v>40</v>
      </c>
      <c r="X29" s="79" t="s">
        <v>40</v>
      </c>
      <c r="Y29" s="79" t="s">
        <v>40</v>
      </c>
      <c r="Z29" s="79" t="s">
        <v>40</v>
      </c>
      <c r="AA29" s="78">
        <v>0.19140000000000001</v>
      </c>
      <c r="AB29" s="78">
        <f>AC29*0.97</f>
        <v>6.4990000000000006E-2</v>
      </c>
      <c r="AC29" s="80">
        <v>6.7000000000000004E-2</v>
      </c>
      <c r="AD29" s="230" t="s">
        <v>40</v>
      </c>
      <c r="AF29" s="231"/>
      <c r="AG29" s="232"/>
      <c r="AH29" s="233"/>
      <c r="AI29" s="234"/>
      <c r="AJ29" s="235"/>
      <c r="AM29" s="123">
        <f>SUM(AM25:AM28)</f>
        <v>0</v>
      </c>
      <c r="AN29" s="123">
        <f>SUM(AN25:AN28)</f>
        <v>0</v>
      </c>
      <c r="AO29" s="123">
        <f>SUM(AO25:AO28)</f>
        <v>0</v>
      </c>
      <c r="AP29" s="124">
        <f>SUM(AM29:AO29)</f>
        <v>0</v>
      </c>
      <c r="AQ29" s="123">
        <f>SUM(AQ25:AQ28)</f>
        <v>0</v>
      </c>
      <c r="AR29" s="123">
        <f>SUM(AR25:AR28)</f>
        <v>0</v>
      </c>
      <c r="AS29" s="123">
        <f>SUM(AS25:AS28)</f>
        <v>0</v>
      </c>
      <c r="AT29" s="124">
        <f>SUM(AQ29:AS29)</f>
        <v>0</v>
      </c>
    </row>
    <row r="30" spans="1:46" ht="15" customHeight="1" x14ac:dyDescent="0.35">
      <c r="A30" s="9"/>
      <c r="B30" s="236" t="s">
        <v>27</v>
      </c>
      <c r="C30" s="126" t="s">
        <v>39</v>
      </c>
      <c r="D30" s="127"/>
      <c r="E30" s="237">
        <f>(F30*AH30)</f>
        <v>0</v>
      </c>
      <c r="F30" s="238"/>
      <c r="G30" s="239"/>
      <c r="H30" s="131" t="s">
        <v>39</v>
      </c>
      <c r="I30" s="127"/>
      <c r="J30" s="237">
        <f>(K30*AI30)</f>
        <v>0</v>
      </c>
      <c r="K30" s="238"/>
      <c r="L30" s="239"/>
      <c r="M30" s="131" t="s">
        <v>39</v>
      </c>
      <c r="N30" s="127"/>
      <c r="O30" s="128">
        <f>(P30*AJ30)</f>
        <v>0</v>
      </c>
      <c r="P30" s="238"/>
      <c r="Q30" s="240"/>
      <c r="R30" s="12"/>
      <c r="S30" s="241" t="str">
        <f>[1]Produksi!A31</f>
        <v>RF-P150DEG</v>
      </c>
      <c r="T30" s="242" t="str">
        <f>[1]Produksi!A6</f>
        <v>RF-P50DGC /GU /GT /PR /LJ-S</v>
      </c>
      <c r="V30" s="76" t="str">
        <f>T18</f>
        <v>LED ARBPLLA00750 &lt;RH&gt;</v>
      </c>
      <c r="W30" s="77" t="s">
        <v>40</v>
      </c>
      <c r="X30" s="243" t="s">
        <v>40</v>
      </c>
      <c r="Y30" s="243" t="s">
        <v>40</v>
      </c>
      <c r="Z30" s="78">
        <v>4.766666666666667E-2</v>
      </c>
      <c r="AA30" s="80">
        <v>0.19140000000000001</v>
      </c>
      <c r="AB30" s="80"/>
      <c r="AC30" s="79" t="s">
        <v>40</v>
      </c>
      <c r="AD30" s="230" t="s">
        <v>40</v>
      </c>
      <c r="AF30" s="244" t="s">
        <v>27</v>
      </c>
      <c r="AG30" s="135" t="s">
        <v>39</v>
      </c>
      <c r="AH30" s="84">
        <f>SUMIF(V:V,D30,AA:AA)</f>
        <v>0</v>
      </c>
      <c r="AI30" s="85">
        <f>SUMIF(V:V,I30,AA:AA)</f>
        <v>0</v>
      </c>
      <c r="AJ30" s="86">
        <f>SUMIF(V:V,N30,AA:AA)</f>
        <v>0</v>
      </c>
      <c r="AM30" s="40">
        <f>G30</f>
        <v>0</v>
      </c>
      <c r="AN30" s="40">
        <f>L30</f>
        <v>0</v>
      </c>
      <c r="AO30" s="40">
        <f>Q30</f>
        <v>0</v>
      </c>
      <c r="AP30" s="40"/>
      <c r="AQ30" s="40">
        <f t="shared" ref="AQ30:AS33" si="11">AH30*AM30</f>
        <v>0</v>
      </c>
      <c r="AR30" s="40">
        <f t="shared" si="11"/>
        <v>0</v>
      </c>
      <c r="AS30" s="40">
        <f t="shared" si="11"/>
        <v>0</v>
      </c>
      <c r="AT30" s="40"/>
    </row>
    <row r="31" spans="1:46" ht="15" customHeight="1" x14ac:dyDescent="0.35">
      <c r="A31" s="9"/>
      <c r="B31" s="213" t="s">
        <v>49</v>
      </c>
      <c r="C31" s="88" t="s">
        <v>42</v>
      </c>
      <c r="D31" s="89"/>
      <c r="E31" s="218">
        <f>IF(F31*AH31=0,0,IF(F31*AH31&gt;0,F31*AH31+20))</f>
        <v>0</v>
      </c>
      <c r="F31" s="91"/>
      <c r="G31" s="219"/>
      <c r="H31" s="93" t="s">
        <v>42</v>
      </c>
      <c r="I31" s="89"/>
      <c r="J31" s="218">
        <f>IF(K31*AI31=0,0,IF(K31*AI31&gt;0,K31*AI31+20))</f>
        <v>0</v>
      </c>
      <c r="K31" s="91"/>
      <c r="L31" s="219"/>
      <c r="M31" s="93" t="s">
        <v>42</v>
      </c>
      <c r="N31" s="89"/>
      <c r="O31" s="90">
        <f>IF(P31*AJ31=0,0,IF(P31*AJ31&gt;0,P31*AJ31+20))</f>
        <v>0</v>
      </c>
      <c r="P31" s="91"/>
      <c r="Q31" s="220"/>
      <c r="R31" s="12"/>
      <c r="S31" s="241" t="str">
        <f>[1]Produksi!A36</f>
        <v>RF-P150DBAGA /GC</v>
      </c>
      <c r="T31" s="242" t="str">
        <f>[1]Produksi!A11</f>
        <v>RF-P50DEG</v>
      </c>
      <c r="V31" s="76" t="str">
        <f>T16</f>
        <v>REF-LED-2 (BG-181293)</v>
      </c>
      <c r="W31" s="77" t="s">
        <v>40</v>
      </c>
      <c r="X31" s="79" t="s">
        <v>40</v>
      </c>
      <c r="Y31" s="79" t="s">
        <v>40</v>
      </c>
      <c r="Z31" s="78">
        <v>4.8400000000000006E-2</v>
      </c>
      <c r="AA31" s="80">
        <v>1.9800000000000002E-2</v>
      </c>
      <c r="AB31" s="80"/>
      <c r="AC31" s="79" t="s">
        <v>40</v>
      </c>
      <c r="AD31" s="230" t="s">
        <v>40</v>
      </c>
      <c r="AF31" s="217" t="s">
        <v>49</v>
      </c>
      <c r="AG31" s="95" t="s">
        <v>42</v>
      </c>
      <c r="AH31" s="84">
        <f>SUMIF(V:V,D31,AA:AA)</f>
        <v>0</v>
      </c>
      <c r="AI31" s="85">
        <f>SUMIF(V:V,I31,AA:AA)</f>
        <v>0</v>
      </c>
      <c r="AJ31" s="86">
        <f>SUMIF(V:V,N31,AA:AA)</f>
        <v>0</v>
      </c>
      <c r="AM31" s="40">
        <f>G31</f>
        <v>0</v>
      </c>
      <c r="AN31" s="40">
        <f>L31</f>
        <v>0</v>
      </c>
      <c r="AO31" s="40">
        <f>Q31</f>
        <v>0</v>
      </c>
      <c r="AP31" s="40"/>
      <c r="AQ31" s="40">
        <f t="shared" si="11"/>
        <v>0</v>
      </c>
      <c r="AR31" s="40">
        <f t="shared" si="11"/>
        <v>0</v>
      </c>
      <c r="AS31" s="40">
        <f t="shared" si="11"/>
        <v>0</v>
      </c>
      <c r="AT31" s="40"/>
    </row>
    <row r="32" spans="1:46" ht="15" customHeight="1" x14ac:dyDescent="0.35">
      <c r="A32" s="9"/>
      <c r="B32" s="205"/>
      <c r="C32" s="88" t="s">
        <v>44</v>
      </c>
      <c r="D32" s="89"/>
      <c r="E32" s="218">
        <f>IF(F32*AH32=0,0,IF(F32*AH32&gt;0,F32*AH32+20))</f>
        <v>0</v>
      </c>
      <c r="F32" s="91"/>
      <c r="G32" s="219"/>
      <c r="H32" s="93" t="s">
        <v>44</v>
      </c>
      <c r="I32" s="89"/>
      <c r="J32" s="218">
        <f>IF(K32*AI32=0,0,IF(K32*AI32&gt;0,K32*AI32+20))</f>
        <v>0</v>
      </c>
      <c r="K32" s="91"/>
      <c r="L32" s="219"/>
      <c r="M32" s="93" t="s">
        <v>44</v>
      </c>
      <c r="N32" s="89"/>
      <c r="O32" s="90">
        <f>IF(P32*AJ32=0,0,IF(P32*AJ32&gt;0,P32*AJ32+20))</f>
        <v>0</v>
      </c>
      <c r="P32" s="91"/>
      <c r="Q32" s="220"/>
      <c r="R32" s="12"/>
      <c r="S32" s="241" t="str">
        <f>[1]Produksi!A46</f>
        <v>RF-P150DPP-S</v>
      </c>
      <c r="T32" s="242" t="str">
        <f>[1]Produksi!A16</f>
        <v>RF-P50DPP-S</v>
      </c>
      <c r="V32" s="76" t="str">
        <f>T17</f>
        <v>REF-LED-3 (BG-319100)</v>
      </c>
      <c r="W32" s="77" t="s">
        <v>40</v>
      </c>
      <c r="X32" s="79" t="s">
        <v>40</v>
      </c>
      <c r="Y32" s="79" t="s">
        <v>40</v>
      </c>
      <c r="Z32" s="78">
        <v>4.8400000000000006E-2</v>
      </c>
      <c r="AA32" s="80">
        <v>1.9800000000000002E-2</v>
      </c>
      <c r="AB32" s="80"/>
      <c r="AC32" s="79" t="s">
        <v>40</v>
      </c>
      <c r="AD32" s="230" t="s">
        <v>40</v>
      </c>
      <c r="AF32" s="222"/>
      <c r="AG32" s="95" t="s">
        <v>44</v>
      </c>
      <c r="AH32" s="84">
        <f>SUMIF(V:V,D32,AA:AA)</f>
        <v>0</v>
      </c>
      <c r="AI32" s="85">
        <f>SUMIF(V:V,I32,AA:AA)</f>
        <v>0</v>
      </c>
      <c r="AJ32" s="86">
        <f>SUMIF(V:V,N32,AA:AA)</f>
        <v>0</v>
      </c>
      <c r="AM32" s="40">
        <f>G32</f>
        <v>0</v>
      </c>
      <c r="AN32" s="40">
        <f>L32</f>
        <v>0</v>
      </c>
      <c r="AO32" s="40">
        <f>Q32</f>
        <v>0</v>
      </c>
      <c r="AP32" s="40"/>
      <c r="AQ32" s="40">
        <f t="shared" si="11"/>
        <v>0</v>
      </c>
      <c r="AR32" s="40">
        <f t="shared" si="11"/>
        <v>0</v>
      </c>
      <c r="AS32" s="40">
        <f t="shared" si="11"/>
        <v>0</v>
      </c>
      <c r="AT32" s="40"/>
    </row>
    <row r="33" spans="1:46" ht="15" customHeight="1" x14ac:dyDescent="0.35">
      <c r="A33" s="9"/>
      <c r="B33" s="205"/>
      <c r="C33" s="102" t="s">
        <v>46</v>
      </c>
      <c r="D33" s="103"/>
      <c r="E33" s="169">
        <f>IF(F33*AH33=0,0,IF(F33*AH33&gt;0,F33*AH33+20))</f>
        <v>0</v>
      </c>
      <c r="F33" s="104"/>
      <c r="G33" s="223"/>
      <c r="H33" s="106" t="s">
        <v>46</v>
      </c>
      <c r="I33" s="103"/>
      <c r="J33" s="169">
        <f>IF(K33*AI33=0,0,IF(K33*AI33&gt;0,K33*AI33+20))</f>
        <v>0</v>
      </c>
      <c r="K33" s="104"/>
      <c r="L33" s="223"/>
      <c r="M33" s="106" t="s">
        <v>46</v>
      </c>
      <c r="N33" s="103"/>
      <c r="O33" s="109">
        <f>IF(P33*AJ33=0,0,IF(P33*AJ33&gt;0,P33*AJ33+20))</f>
        <v>0</v>
      </c>
      <c r="P33" s="104"/>
      <c r="Q33" s="225"/>
      <c r="R33" s="12"/>
      <c r="S33" s="241" t="str">
        <f>[1]Produksi!A41</f>
        <v>RF-P150DGS</v>
      </c>
      <c r="T33" s="245"/>
      <c r="V33" s="76" t="str">
        <f>T15</f>
        <v>LED-BB [ARBPLLA00302]</v>
      </c>
      <c r="W33" s="77" t="s">
        <v>40</v>
      </c>
      <c r="X33" s="79" t="s">
        <v>40</v>
      </c>
      <c r="Y33" s="79" t="s">
        <v>40</v>
      </c>
      <c r="Z33" s="79" t="s">
        <v>40</v>
      </c>
      <c r="AA33" s="79" t="s">
        <v>40</v>
      </c>
      <c r="AB33" s="79"/>
      <c r="AC33" s="79" t="s">
        <v>40</v>
      </c>
      <c r="AD33" s="81">
        <v>6.9055555555555564E-2</v>
      </c>
      <c r="AF33" s="222"/>
      <c r="AG33" s="95" t="s">
        <v>46</v>
      </c>
      <c r="AH33" s="84">
        <f>SUMIF(V:V,D33,AA:AA)</f>
        <v>0</v>
      </c>
      <c r="AI33" s="85">
        <f>SUMIF(V:V,I33,AA:AA)</f>
        <v>0</v>
      </c>
      <c r="AJ33" s="86">
        <f>SUMIF(V:V,N33,AA:AA)</f>
        <v>0</v>
      </c>
      <c r="AM33" s="40">
        <f>G33</f>
        <v>0</v>
      </c>
      <c r="AN33" s="40">
        <f>L33</f>
        <v>0</v>
      </c>
      <c r="AO33" s="40">
        <f>Q33</f>
        <v>0</v>
      </c>
      <c r="AP33" s="40"/>
      <c r="AQ33" s="40">
        <f t="shared" si="11"/>
        <v>0</v>
      </c>
      <c r="AR33" s="40">
        <f t="shared" si="11"/>
        <v>0</v>
      </c>
      <c r="AS33" s="40">
        <f t="shared" si="11"/>
        <v>0</v>
      </c>
      <c r="AT33" s="40"/>
    </row>
    <row r="34" spans="1:46" ht="15" customHeight="1" x14ac:dyDescent="0.35">
      <c r="A34" s="9"/>
      <c r="B34" s="226"/>
      <c r="C34" s="111"/>
      <c r="D34" s="112"/>
      <c r="E34" s="227">
        <f>SUM(E30:E33)</f>
        <v>0</v>
      </c>
      <c r="F34" s="114"/>
      <c r="G34" s="228"/>
      <c r="H34" s="116"/>
      <c r="I34" s="112"/>
      <c r="J34" s="227">
        <f>SUM(J30:J33)</f>
        <v>0</v>
      </c>
      <c r="K34" s="114"/>
      <c r="L34" s="228"/>
      <c r="M34" s="116"/>
      <c r="N34" s="112"/>
      <c r="O34" s="227">
        <f>SUM(O30:O33)</f>
        <v>0</v>
      </c>
      <c r="P34" s="114"/>
      <c r="Q34" s="229"/>
      <c r="R34" s="12"/>
      <c r="S34" s="241" t="str">
        <f>[1]Produksi!A26</f>
        <v>RF-P155-S</v>
      </c>
      <c r="T34" s="242" t="str">
        <f>[1]Produksi!A21</f>
        <v>RF-P55-S</v>
      </c>
      <c r="V34" s="76" t="str">
        <f>T20</f>
        <v>VR-BB [ARBP01A00260]</v>
      </c>
      <c r="W34" s="77" t="s">
        <v>40</v>
      </c>
      <c r="X34" s="79" t="s">
        <v>40</v>
      </c>
      <c r="Y34" s="79" t="s">
        <v>40</v>
      </c>
      <c r="Z34" s="80">
        <v>1.7999999999999999E-2</v>
      </c>
      <c r="AA34" s="79" t="s">
        <v>40</v>
      </c>
      <c r="AB34" s="79"/>
      <c r="AC34" s="79" t="s">
        <v>40</v>
      </c>
      <c r="AD34" s="230" t="s">
        <v>40</v>
      </c>
      <c r="AF34" s="231"/>
      <c r="AG34" s="232"/>
      <c r="AH34" s="233"/>
      <c r="AI34" s="234"/>
      <c r="AJ34" s="235"/>
      <c r="AM34" s="123">
        <f>SUM(AM30:AM33)</f>
        <v>0</v>
      </c>
      <c r="AN34" s="123">
        <f>SUM(AN30:AN33)</f>
        <v>0</v>
      </c>
      <c r="AO34" s="123">
        <f>SUM(AO30:AO33)</f>
        <v>0</v>
      </c>
      <c r="AP34" s="124">
        <f>SUM(AM34:AO34)</f>
        <v>0</v>
      </c>
      <c r="AQ34" s="123">
        <f>SUM(AQ30:AQ33)</f>
        <v>0</v>
      </c>
      <c r="AR34" s="123">
        <f>SUM(AR30:AR33)</f>
        <v>0</v>
      </c>
      <c r="AS34" s="123">
        <f>SUM(AS30:AS33)</f>
        <v>0</v>
      </c>
      <c r="AT34" s="124">
        <f>SUM(AQ34:AS34)</f>
        <v>0</v>
      </c>
    </row>
    <row r="35" spans="1:46" ht="15" customHeight="1" x14ac:dyDescent="0.35">
      <c r="A35" s="9"/>
      <c r="B35" s="236" t="s">
        <v>27</v>
      </c>
      <c r="C35" s="126" t="s">
        <v>39</v>
      </c>
      <c r="D35" s="127"/>
      <c r="E35" s="237">
        <f>(F35*AH35)</f>
        <v>0</v>
      </c>
      <c r="F35" s="238"/>
      <c r="G35" s="239"/>
      <c r="H35" s="131" t="s">
        <v>39</v>
      </c>
      <c r="I35" s="127"/>
      <c r="J35" s="237">
        <f>(K35*AI35)</f>
        <v>0</v>
      </c>
      <c r="K35" s="238"/>
      <c r="L35" s="239"/>
      <c r="M35" s="131" t="s">
        <v>39</v>
      </c>
      <c r="N35" s="127"/>
      <c r="O35" s="237">
        <f>(P35*AJ35)</f>
        <v>0</v>
      </c>
      <c r="P35" s="238"/>
      <c r="Q35" s="240"/>
      <c r="R35" s="12"/>
      <c r="S35" s="246"/>
      <c r="T35" s="247"/>
      <c r="V35" s="248" t="str">
        <f>S21</f>
        <v>REF_PASTA [1st_CM+RH 200V]</v>
      </c>
      <c r="W35" s="249" t="s">
        <v>40</v>
      </c>
      <c r="X35" s="243" t="s">
        <v>40</v>
      </c>
      <c r="Y35" s="243" t="s">
        <v>40</v>
      </c>
      <c r="Z35" s="243" t="s">
        <v>40</v>
      </c>
      <c r="AA35" s="243" t="s">
        <v>40</v>
      </c>
      <c r="AB35" s="243"/>
      <c r="AC35" s="243" t="s">
        <v>40</v>
      </c>
      <c r="AD35" s="81">
        <v>0.25</v>
      </c>
      <c r="AF35" s="244" t="s">
        <v>27</v>
      </c>
      <c r="AG35" s="95" t="s">
        <v>39</v>
      </c>
      <c r="AH35" s="84">
        <f>SUMIF(V:V,D35,AA:AA)</f>
        <v>0</v>
      </c>
      <c r="AI35" s="85">
        <f>SUMIF(V:V,I35,AA:AA)</f>
        <v>0</v>
      </c>
      <c r="AJ35" s="86">
        <f>SUMIF(V:V,N35,AA:AA)</f>
        <v>0</v>
      </c>
      <c r="AM35" s="40">
        <f>G35</f>
        <v>0</v>
      </c>
      <c r="AN35" s="40">
        <f>L35</f>
        <v>0</v>
      </c>
      <c r="AO35" s="40">
        <f>Q35</f>
        <v>0</v>
      </c>
      <c r="AP35" s="40"/>
      <c r="AQ35" s="40">
        <f t="shared" ref="AQ35:AS39" si="12">AH35*AM35</f>
        <v>0</v>
      </c>
      <c r="AR35" s="40">
        <f t="shared" si="12"/>
        <v>0</v>
      </c>
      <c r="AS35" s="40">
        <f t="shared" si="12"/>
        <v>0</v>
      </c>
      <c r="AT35" s="40"/>
    </row>
    <row r="36" spans="1:46" ht="15" customHeight="1" x14ac:dyDescent="0.35">
      <c r="A36" s="9"/>
      <c r="B36" s="213" t="s">
        <v>54</v>
      </c>
      <c r="C36" s="88" t="s">
        <v>42</v>
      </c>
      <c r="D36" s="89"/>
      <c r="E36" s="218">
        <f>IF(F36*AH36=0,0,IF(F36*AH36&gt;0,F36*AH36+20))</f>
        <v>0</v>
      </c>
      <c r="F36" s="91"/>
      <c r="G36" s="219"/>
      <c r="H36" s="93" t="s">
        <v>42</v>
      </c>
      <c r="I36" s="89"/>
      <c r="J36" s="218">
        <f>IF(K36*AI36=0,0,IF(K36*AI36&gt;0,K36*AI36+20))</f>
        <v>0</v>
      </c>
      <c r="K36" s="91"/>
      <c r="L36" s="219"/>
      <c r="M36" s="93" t="s">
        <v>42</v>
      </c>
      <c r="N36" s="89"/>
      <c r="O36" s="218">
        <f>IF(P36*AJ36=0,0,IF(P36*AJ36&gt;0,P36*AJ36+20))</f>
        <v>0</v>
      </c>
      <c r="P36" s="91"/>
      <c r="Q36" s="220"/>
      <c r="R36" s="12"/>
      <c r="S36" s="250" t="str">
        <f>[1]Produksi!A176</f>
        <v>RF-5270LJK</v>
      </c>
      <c r="T36" s="251" t="str">
        <f>[1]Produksi!A261</f>
        <v>ARBGBA301650</v>
      </c>
      <c r="V36" s="248" t="str">
        <f>T21</f>
        <v>REF_PASTA [2nd_CM+RH 200V]</v>
      </c>
      <c r="W36" s="249" t="s">
        <v>40</v>
      </c>
      <c r="X36" s="243" t="s">
        <v>40</v>
      </c>
      <c r="Y36" s="243" t="s">
        <v>40</v>
      </c>
      <c r="Z36" s="243" t="s">
        <v>40</v>
      </c>
      <c r="AA36" s="78">
        <v>0.37620000000000003</v>
      </c>
      <c r="AB36" s="78"/>
      <c r="AC36" s="243" t="s">
        <v>40</v>
      </c>
      <c r="AD36" s="230" t="s">
        <v>40</v>
      </c>
      <c r="AF36" s="217" t="s">
        <v>54</v>
      </c>
      <c r="AG36" s="95" t="s">
        <v>42</v>
      </c>
      <c r="AH36" s="84">
        <f>SUMIF(V:V,D36,AA:AA)</f>
        <v>0</v>
      </c>
      <c r="AI36" s="85">
        <f>SUMIF(V:V,I36,AA:AA)</f>
        <v>0</v>
      </c>
      <c r="AJ36" s="86">
        <f>SUMIF(V:V,N36,AA:AA)</f>
        <v>0</v>
      </c>
      <c r="AM36" s="40">
        <f>G36</f>
        <v>0</v>
      </c>
      <c r="AN36" s="40">
        <f>L36</f>
        <v>0</v>
      </c>
      <c r="AO36" s="40">
        <f>Q36</f>
        <v>0</v>
      </c>
      <c r="AP36" s="40"/>
      <c r="AQ36" s="40">
        <f t="shared" si="12"/>
        <v>0</v>
      </c>
      <c r="AR36" s="40">
        <f t="shared" si="12"/>
        <v>0</v>
      </c>
      <c r="AS36" s="40">
        <f t="shared" si="12"/>
        <v>0</v>
      </c>
      <c r="AT36" s="40"/>
    </row>
    <row r="37" spans="1:46" ht="15" customHeight="1" x14ac:dyDescent="0.35">
      <c r="A37" s="9"/>
      <c r="B37" s="205"/>
      <c r="C37" s="88" t="s">
        <v>44</v>
      </c>
      <c r="D37" s="89"/>
      <c r="E37" s="218">
        <f>IF(F37*AH37=0,0,IF(F37*AH37&gt;0,F37*AH37+20))</f>
        <v>0</v>
      </c>
      <c r="F37" s="91"/>
      <c r="G37" s="219"/>
      <c r="H37" s="93" t="s">
        <v>44</v>
      </c>
      <c r="I37" s="89"/>
      <c r="J37" s="218">
        <f>IF(K37*AI37=0,0,IF(K37*AI37&gt;0,K37*AI37+20))</f>
        <v>0</v>
      </c>
      <c r="K37" s="91"/>
      <c r="L37" s="219"/>
      <c r="M37" s="93" t="s">
        <v>44</v>
      </c>
      <c r="N37" s="89"/>
      <c r="O37" s="218">
        <f>IF(P37*AJ37=0,0,IF(P37*AJ37&gt;0,P37*AJ37+20))</f>
        <v>0</v>
      </c>
      <c r="P37" s="91"/>
      <c r="Q37" s="220"/>
      <c r="R37" s="12"/>
      <c r="S37" s="252" t="str">
        <f>[1]Produksi!A171</f>
        <v>RF-U156-S</v>
      </c>
      <c r="T37" s="251" t="str">
        <f>[1]Produksi!A266</f>
        <v>BG-213400</v>
      </c>
      <c r="V37" s="253" t="s">
        <v>55</v>
      </c>
      <c r="W37" s="254">
        <v>0.4</v>
      </c>
      <c r="X37" s="255">
        <v>0.26400000000000001</v>
      </c>
      <c r="Y37" s="255">
        <v>0.40400000000000003</v>
      </c>
      <c r="Z37" s="255">
        <v>8.3000000000000004E-2</v>
      </c>
      <c r="AA37" s="78">
        <v>0.17499999999999999</v>
      </c>
      <c r="AB37" s="78">
        <v>0.63049999999999995</v>
      </c>
      <c r="AC37" s="80">
        <v>0.65</v>
      </c>
      <c r="AD37" s="256">
        <v>0.35399999999999998</v>
      </c>
      <c r="AF37" s="222"/>
      <c r="AG37" s="95" t="s">
        <v>44</v>
      </c>
      <c r="AH37" s="84">
        <f>SUMIF(V:V,D37,AA:AA)</f>
        <v>0</v>
      </c>
      <c r="AI37" s="85">
        <f>SUMIF(V:V,I37,AA:AA)</f>
        <v>0</v>
      </c>
      <c r="AJ37" s="86">
        <f>SUMIF(V:V,N37,AA:AA)</f>
        <v>0</v>
      </c>
      <c r="AM37" s="40">
        <f>G37</f>
        <v>0</v>
      </c>
      <c r="AN37" s="40">
        <f>L37</f>
        <v>0</v>
      </c>
      <c r="AO37" s="40">
        <f>Q37</f>
        <v>0</v>
      </c>
      <c r="AP37" s="40"/>
      <c r="AQ37" s="40">
        <f t="shared" si="12"/>
        <v>0</v>
      </c>
      <c r="AR37" s="40">
        <f t="shared" si="12"/>
        <v>0</v>
      </c>
      <c r="AS37" s="40">
        <f t="shared" si="12"/>
        <v>0</v>
      </c>
      <c r="AT37" s="40"/>
    </row>
    <row r="38" spans="1:46" ht="15" customHeight="1" x14ac:dyDescent="0.35">
      <c r="A38" s="9"/>
      <c r="B38" s="205"/>
      <c r="C38" s="88" t="s">
        <v>46</v>
      </c>
      <c r="D38" s="89"/>
      <c r="E38" s="218">
        <f>IF(F38*AH38=0,0,IF(F38*AH38&gt;0,F38*AH38+20))</f>
        <v>0</v>
      </c>
      <c r="F38" s="91"/>
      <c r="G38" s="178"/>
      <c r="H38" s="93" t="s">
        <v>46</v>
      </c>
      <c r="I38" s="89"/>
      <c r="J38" s="218">
        <f>IF(K38*AI38=0,0,IF(K38*AI38&gt;0,K38*AI38+20))</f>
        <v>0</v>
      </c>
      <c r="K38" s="91"/>
      <c r="L38" s="178"/>
      <c r="M38" s="93" t="s">
        <v>46</v>
      </c>
      <c r="N38" s="89"/>
      <c r="O38" s="218">
        <f>IF(P38*AJ38=0,0,IF(P38*AJ38&gt;0,P38*AJ38+20))</f>
        <v>0</v>
      </c>
      <c r="P38" s="91"/>
      <c r="Q38" s="220"/>
      <c r="R38" s="12"/>
      <c r="S38" s="257" t="str">
        <f>[1]Produksi!A181</f>
        <v>RF-562DD2GCK1</v>
      </c>
      <c r="T38" s="17"/>
      <c r="V38" s="76" t="s">
        <v>56</v>
      </c>
      <c r="W38" s="77" t="s">
        <v>40</v>
      </c>
      <c r="X38" s="258" t="s">
        <v>40</v>
      </c>
      <c r="Y38" s="258" t="s">
        <v>40</v>
      </c>
      <c r="Z38" s="258" t="s">
        <v>40</v>
      </c>
      <c r="AA38" s="78">
        <v>0.1</v>
      </c>
      <c r="AB38" s="78">
        <v>4.8000000000000001E-2</v>
      </c>
      <c r="AC38" s="80">
        <v>6.7000000000000004E-2</v>
      </c>
      <c r="AD38" s="256">
        <v>6.7000000000000004E-2</v>
      </c>
      <c r="AF38" s="222"/>
      <c r="AG38" s="95" t="s">
        <v>46</v>
      </c>
      <c r="AH38" s="84">
        <f>SUMIF(V:V,D38,AA:AA)</f>
        <v>0</v>
      </c>
      <c r="AI38" s="85">
        <f>SUMIF(V:V,I38,AA:AA)</f>
        <v>0</v>
      </c>
      <c r="AJ38" s="86">
        <f>SUMIF(V:V,N38,AA:AA)</f>
        <v>0</v>
      </c>
      <c r="AM38" s="40">
        <f>G38</f>
        <v>0</v>
      </c>
      <c r="AN38" s="40">
        <f>L38</f>
        <v>0</v>
      </c>
      <c r="AO38" s="40">
        <f>Q38</f>
        <v>0</v>
      </c>
      <c r="AP38" s="40"/>
      <c r="AQ38" s="40">
        <f t="shared" si="12"/>
        <v>0</v>
      </c>
      <c r="AR38" s="40">
        <f t="shared" si="12"/>
        <v>0</v>
      </c>
      <c r="AS38" s="40">
        <f t="shared" si="12"/>
        <v>0</v>
      </c>
      <c r="AT38" s="40"/>
    </row>
    <row r="39" spans="1:46" ht="15" customHeight="1" x14ac:dyDescent="0.35">
      <c r="A39" s="9"/>
      <c r="B39" s="205"/>
      <c r="C39" s="102" t="s">
        <v>47</v>
      </c>
      <c r="D39" s="103"/>
      <c r="E39" s="169">
        <f>IF(F39*AH39=0,0,IF(F39*AH39&gt;0,F39*AH39+20))</f>
        <v>0</v>
      </c>
      <c r="F39" s="104"/>
      <c r="G39" s="223"/>
      <c r="H39" s="106" t="s">
        <v>47</v>
      </c>
      <c r="I39" s="103"/>
      <c r="J39" s="169">
        <f>IF(K39*AI39=0,0,IF(K39*AI39&gt;0,K39*AI39+20))</f>
        <v>0</v>
      </c>
      <c r="K39" s="104"/>
      <c r="L39" s="223"/>
      <c r="M39" s="106" t="s">
        <v>47</v>
      </c>
      <c r="N39" s="103"/>
      <c r="O39" s="169">
        <f>IF(P39*AJ39=0,0,IF(P39*AJ39&gt;0,P39*AJ39+20))</f>
        <v>0</v>
      </c>
      <c r="P39" s="104"/>
      <c r="Q39" s="225"/>
      <c r="R39" s="12"/>
      <c r="S39" s="252"/>
      <c r="T39" s="17"/>
      <c r="V39" s="76" t="s">
        <v>57</v>
      </c>
      <c r="W39" s="77" t="s">
        <v>40</v>
      </c>
      <c r="X39" s="258" t="s">
        <v>40</v>
      </c>
      <c r="Y39" s="258" t="s">
        <v>40</v>
      </c>
      <c r="Z39" s="258" t="s">
        <v>40</v>
      </c>
      <c r="AA39" s="78">
        <v>0.1</v>
      </c>
      <c r="AB39" s="78">
        <v>6.4990000000000006E-2</v>
      </c>
      <c r="AC39" s="80">
        <v>6.7000000000000004E-2</v>
      </c>
      <c r="AD39" s="256">
        <v>6.7000000000000004E-2</v>
      </c>
      <c r="AF39" s="222"/>
      <c r="AG39" s="95" t="s">
        <v>47</v>
      </c>
      <c r="AH39" s="84">
        <f>SUMIF(V:V,D39,AA:AA)</f>
        <v>0</v>
      </c>
      <c r="AI39" s="85">
        <f>SUMIF(V:V,I39,AA:AA)</f>
        <v>0</v>
      </c>
      <c r="AJ39" s="86">
        <f>SUMIF(V:V,N39,AA:AA)</f>
        <v>0</v>
      </c>
      <c r="AM39" s="40">
        <f>G39</f>
        <v>0</v>
      </c>
      <c r="AN39" s="40">
        <f>L39</f>
        <v>0</v>
      </c>
      <c r="AO39" s="40">
        <f>Q39</f>
        <v>0</v>
      </c>
      <c r="AP39" s="40"/>
      <c r="AQ39" s="40">
        <f t="shared" si="12"/>
        <v>0</v>
      </c>
      <c r="AR39" s="40">
        <f t="shared" si="12"/>
        <v>0</v>
      </c>
      <c r="AS39" s="40">
        <f t="shared" si="12"/>
        <v>0</v>
      </c>
      <c r="AT39" s="40"/>
    </row>
    <row r="40" spans="1:46" ht="15" customHeight="1" thickBot="1" x14ac:dyDescent="0.4">
      <c r="A40" s="9"/>
      <c r="B40" s="259"/>
      <c r="C40" s="193"/>
      <c r="D40" s="144"/>
      <c r="E40" s="149">
        <f>SUM(E35:E39)</f>
        <v>0</v>
      </c>
      <c r="F40" s="146"/>
      <c r="G40" s="260"/>
      <c r="H40" s="148"/>
      <c r="I40" s="144"/>
      <c r="J40" s="149">
        <f>SUM(J35:J39)</f>
        <v>0</v>
      </c>
      <c r="K40" s="146"/>
      <c r="L40" s="260"/>
      <c r="M40" s="148"/>
      <c r="N40" s="144"/>
      <c r="O40" s="149">
        <f>SUM(O35:O39)</f>
        <v>0</v>
      </c>
      <c r="P40" s="146"/>
      <c r="Q40" s="261"/>
      <c r="R40" s="12"/>
      <c r="S40" s="262"/>
      <c r="T40" s="17"/>
      <c r="V40" s="76" t="s">
        <v>58</v>
      </c>
      <c r="W40" s="263" t="s">
        <v>40</v>
      </c>
      <c r="X40" s="264" t="s">
        <v>40</v>
      </c>
      <c r="Y40" s="264" t="s">
        <v>40</v>
      </c>
      <c r="Z40" s="264" t="s">
        <v>40</v>
      </c>
      <c r="AA40" s="264" t="s">
        <v>40</v>
      </c>
      <c r="AB40" s="264"/>
      <c r="AC40" s="264" t="s">
        <v>40</v>
      </c>
      <c r="AD40" s="265">
        <v>0.32</v>
      </c>
      <c r="AF40" s="266"/>
      <c r="AG40" s="267"/>
      <c r="AH40" s="268"/>
      <c r="AI40" s="269"/>
      <c r="AJ40" s="270"/>
      <c r="AM40" s="123">
        <f>SUM(AM35:AM39)</f>
        <v>0</v>
      </c>
      <c r="AN40" s="123">
        <f>SUM(AN35:AN39)</f>
        <v>0</v>
      </c>
      <c r="AO40" s="123">
        <f>SUM(AO35:AO39)</f>
        <v>0</v>
      </c>
      <c r="AP40" s="124">
        <f>SUM(AM40:AO40)</f>
        <v>0</v>
      </c>
      <c r="AQ40" s="123">
        <f>SUM(AQ35:AQ39)</f>
        <v>0</v>
      </c>
      <c r="AR40" s="123">
        <f>SUM(AR35:AR39)</f>
        <v>0</v>
      </c>
      <c r="AS40" s="123">
        <f>SUM(AS35:AS39)</f>
        <v>0</v>
      </c>
      <c r="AT40" s="124">
        <f>SUM(AQ40:AS40)</f>
        <v>0</v>
      </c>
    </row>
    <row r="41" spans="1:46" ht="15" customHeight="1" x14ac:dyDescent="0.35">
      <c r="A41" s="9"/>
      <c r="B41" s="271" t="s">
        <v>59</v>
      </c>
      <c r="C41" s="156" t="s">
        <v>39</v>
      </c>
      <c r="D41" s="272"/>
      <c r="E41" s="273">
        <f>(F41*AH41)</f>
        <v>0</v>
      </c>
      <c r="F41" s="159"/>
      <c r="G41" s="163"/>
      <c r="H41" s="274" t="s">
        <v>39</v>
      </c>
      <c r="I41" s="272"/>
      <c r="J41" s="273">
        <f>(K41*AI41)</f>
        <v>0</v>
      </c>
      <c r="K41" s="159"/>
      <c r="L41" s="163"/>
      <c r="M41" s="274" t="s">
        <v>39</v>
      </c>
      <c r="N41" s="275"/>
      <c r="O41" s="273">
        <f>(P41*AJ41)</f>
        <v>0</v>
      </c>
      <c r="P41" s="159"/>
      <c r="Q41" s="276"/>
      <c r="R41" s="12"/>
      <c r="S41" s="277"/>
      <c r="T41" s="278"/>
      <c r="V41" s="76" t="s">
        <v>60</v>
      </c>
      <c r="W41" s="263" t="s">
        <v>40</v>
      </c>
      <c r="X41" s="264" t="s">
        <v>40</v>
      </c>
      <c r="Y41" s="264" t="s">
        <v>40</v>
      </c>
      <c r="Z41" s="264" t="s">
        <v>40</v>
      </c>
      <c r="AA41" s="264" t="s">
        <v>40</v>
      </c>
      <c r="AB41" s="264"/>
      <c r="AC41" s="264" t="s">
        <v>40</v>
      </c>
      <c r="AD41" s="265">
        <v>0.14000000000000001</v>
      </c>
      <c r="AF41" s="279" t="s">
        <v>59</v>
      </c>
      <c r="AG41" s="135" t="s">
        <v>39</v>
      </c>
      <c r="AH41" s="84">
        <f>SUMIF(V:V,D41,AB:AB)</f>
        <v>0</v>
      </c>
      <c r="AI41" s="85">
        <f>SUMIF(V:V,I41,AB:AB)</f>
        <v>0</v>
      </c>
      <c r="AJ41" s="86">
        <f>SUMIF(V:V,N41,AB:AB)</f>
        <v>0</v>
      </c>
      <c r="AM41" s="40">
        <f>G41</f>
        <v>0</v>
      </c>
      <c r="AN41" s="40">
        <f>L41</f>
        <v>0</v>
      </c>
      <c r="AO41" s="40">
        <f>Q41</f>
        <v>0</v>
      </c>
      <c r="AP41" s="40"/>
      <c r="AQ41" s="40">
        <f t="shared" ref="AQ41:AS45" si="13">AH41*AM41</f>
        <v>0</v>
      </c>
      <c r="AR41" s="40">
        <f t="shared" si="13"/>
        <v>0</v>
      </c>
      <c r="AS41" s="40">
        <f t="shared" si="13"/>
        <v>0</v>
      </c>
      <c r="AT41" s="40"/>
    </row>
    <row r="42" spans="1:46" ht="15" customHeight="1" x14ac:dyDescent="0.35">
      <c r="A42" s="9"/>
      <c r="B42" s="280" t="s">
        <v>8</v>
      </c>
      <c r="C42" s="88" t="s">
        <v>42</v>
      </c>
      <c r="D42" s="89"/>
      <c r="E42" s="90">
        <f>IF(F42*AH42=0,0,IF(F42*AH42&gt;0,F42*AH42+20))</f>
        <v>0</v>
      </c>
      <c r="F42" s="91"/>
      <c r="G42" s="92"/>
      <c r="H42" s="93" t="s">
        <v>42</v>
      </c>
      <c r="I42" s="89"/>
      <c r="J42" s="90">
        <f>IF(K42*AI42=0,0,IF(K42*AI42&gt;0,K42*AI42+20))</f>
        <v>0</v>
      </c>
      <c r="K42" s="91"/>
      <c r="L42" s="92"/>
      <c r="M42" s="93" t="s">
        <v>42</v>
      </c>
      <c r="N42" s="281"/>
      <c r="O42" s="90">
        <f>IF(P42*AJ42=0,0,IF(P42*AJ42&gt;0,P42*AJ42+20))</f>
        <v>0</v>
      </c>
      <c r="P42" s="91"/>
      <c r="Q42" s="215"/>
      <c r="R42" s="12"/>
      <c r="S42" s="282"/>
      <c r="T42" s="283"/>
      <c r="V42" s="76" t="s">
        <v>61</v>
      </c>
      <c r="W42" s="263" t="s">
        <v>40</v>
      </c>
      <c r="X42" s="284">
        <v>0.26400000000000001</v>
      </c>
      <c r="Y42" s="284">
        <v>0.26400000000000001</v>
      </c>
      <c r="Z42" s="284" t="s">
        <v>40</v>
      </c>
      <c r="AA42" s="264">
        <v>0.314</v>
      </c>
      <c r="AB42" s="264">
        <v>0.42</v>
      </c>
      <c r="AC42" s="264">
        <v>0.55000000000000004</v>
      </c>
      <c r="AD42" s="285">
        <v>0.36299999999999999</v>
      </c>
      <c r="AF42" s="279" t="s">
        <v>8</v>
      </c>
      <c r="AG42" s="95" t="s">
        <v>42</v>
      </c>
      <c r="AH42" s="84">
        <f>SUMIF(V:V,D42,AB:AB)</f>
        <v>0</v>
      </c>
      <c r="AI42" s="85">
        <f>SUMIF(V:V,I42,AB:AB)</f>
        <v>0</v>
      </c>
      <c r="AJ42" s="86">
        <f>SUMIF(V:V,N42,AB:AB)</f>
        <v>0</v>
      </c>
      <c r="AM42" s="40">
        <f>G42</f>
        <v>0</v>
      </c>
      <c r="AN42" s="40">
        <f>L42</f>
        <v>0</v>
      </c>
      <c r="AO42" s="40">
        <f>Q42</f>
        <v>0</v>
      </c>
      <c r="AP42" s="40"/>
      <c r="AQ42" s="40">
        <f t="shared" si="13"/>
        <v>0</v>
      </c>
      <c r="AR42" s="40">
        <f t="shared" si="13"/>
        <v>0</v>
      </c>
      <c r="AS42" s="40">
        <f t="shared" si="13"/>
        <v>0</v>
      </c>
      <c r="AT42" s="40"/>
    </row>
    <row r="43" spans="1:46" ht="15" customHeight="1" x14ac:dyDescent="0.35">
      <c r="A43" s="9"/>
      <c r="B43" s="280" t="s">
        <v>62</v>
      </c>
      <c r="C43" s="88" t="s">
        <v>44</v>
      </c>
      <c r="D43" s="97"/>
      <c r="E43" s="90">
        <f>IF(F43*AH43=0,0,IF(F43*AH43&gt;0,F43*AH43+20))</f>
        <v>0</v>
      </c>
      <c r="F43" s="91"/>
      <c r="G43" s="92"/>
      <c r="H43" s="93" t="s">
        <v>44</v>
      </c>
      <c r="I43" s="97"/>
      <c r="J43" s="90">
        <f>IF(K43*AI43=0,0,IF(K43*AI43&gt;0,K43*AI43+20))</f>
        <v>0</v>
      </c>
      <c r="K43" s="91"/>
      <c r="L43" s="92"/>
      <c r="M43" s="93" t="s">
        <v>44</v>
      </c>
      <c r="N43" s="286"/>
      <c r="O43" s="90">
        <f>IF(P43*AJ43=0,0,IF(P43*AJ43&gt;0,P43*AJ43+20))</f>
        <v>0</v>
      </c>
      <c r="P43" s="91"/>
      <c r="Q43" s="215"/>
      <c r="R43" s="12"/>
      <c r="S43" s="282"/>
      <c r="T43" s="283"/>
      <c r="V43" s="76" t="s">
        <v>63</v>
      </c>
      <c r="W43" s="287" t="s">
        <v>40</v>
      </c>
      <c r="X43" s="288" t="s">
        <v>40</v>
      </c>
      <c r="Y43" s="288" t="s">
        <v>40</v>
      </c>
      <c r="Z43" s="288" t="s">
        <v>40</v>
      </c>
      <c r="AA43" s="264" t="s">
        <v>40</v>
      </c>
      <c r="AB43" s="289"/>
      <c r="AC43" s="290" t="s">
        <v>40</v>
      </c>
      <c r="AD43" s="291">
        <v>0.17100000000000001</v>
      </c>
      <c r="AF43" s="279" t="s">
        <v>62</v>
      </c>
      <c r="AG43" s="95" t="s">
        <v>44</v>
      </c>
      <c r="AH43" s="84">
        <f>SUMIF(V:V,D43,AB:AB)</f>
        <v>0</v>
      </c>
      <c r="AI43" s="85">
        <f>SUMIF(V:V,I43,AB:AB)</f>
        <v>0</v>
      </c>
      <c r="AJ43" s="86">
        <f>SUMIF(V:V,N43,AB:AB)</f>
        <v>0</v>
      </c>
      <c r="AM43" s="40">
        <f>G43</f>
        <v>0</v>
      </c>
      <c r="AN43" s="40">
        <f>L43</f>
        <v>0</v>
      </c>
      <c r="AO43" s="40">
        <f>Q43</f>
        <v>0</v>
      </c>
      <c r="AP43" s="40"/>
      <c r="AQ43" s="40">
        <f t="shared" si="13"/>
        <v>0</v>
      </c>
      <c r="AR43" s="40">
        <f t="shared" si="13"/>
        <v>0</v>
      </c>
      <c r="AS43" s="40">
        <f t="shared" si="13"/>
        <v>0</v>
      </c>
      <c r="AT43" s="40"/>
    </row>
    <row r="44" spans="1:46" ht="15" customHeight="1" x14ac:dyDescent="0.35">
      <c r="A44" s="9"/>
      <c r="B44" s="292" t="s">
        <v>53</v>
      </c>
      <c r="C44" s="88" t="s">
        <v>46</v>
      </c>
      <c r="D44" s="103"/>
      <c r="E44" s="90">
        <f>IF(F44*AH44=0,0,IF(F44*AH44&gt;0,F44*AH44+20))</f>
        <v>0</v>
      </c>
      <c r="F44" s="91"/>
      <c r="G44" s="105"/>
      <c r="H44" s="93" t="s">
        <v>46</v>
      </c>
      <c r="I44" s="103"/>
      <c r="J44" s="90">
        <f>IF(K44*AI44=0,0,IF(K44*AI44&gt;0,K44*AI44+20))</f>
        <v>0</v>
      </c>
      <c r="K44" s="91"/>
      <c r="L44" s="105"/>
      <c r="M44" s="93" t="s">
        <v>46</v>
      </c>
      <c r="N44" s="286"/>
      <c r="O44" s="90">
        <f>IF(P44*AJ44=0,0,IF(P44*AJ44&gt;0,P44*AJ44+20))</f>
        <v>0</v>
      </c>
      <c r="P44" s="91"/>
      <c r="Q44" s="215"/>
      <c r="R44" s="12"/>
      <c r="S44" s="282"/>
      <c r="T44" s="283"/>
      <c r="V44" s="76" t="s">
        <v>64</v>
      </c>
      <c r="W44" s="263" t="s">
        <v>40</v>
      </c>
      <c r="X44" s="284" t="s">
        <v>40</v>
      </c>
      <c r="Y44" s="284" t="s">
        <v>40</v>
      </c>
      <c r="Z44" s="284" t="s">
        <v>40</v>
      </c>
      <c r="AA44" s="264" t="s">
        <v>40</v>
      </c>
      <c r="AB44" s="264"/>
      <c r="AC44" s="290" t="s">
        <v>40</v>
      </c>
      <c r="AD44" s="285">
        <v>0.35199999999999998</v>
      </c>
      <c r="AF44" s="293" t="s">
        <v>53</v>
      </c>
      <c r="AG44" s="95" t="s">
        <v>46</v>
      </c>
      <c r="AH44" s="84">
        <f>SUMIF(V:V,D44,AB:AB)</f>
        <v>0</v>
      </c>
      <c r="AI44" s="85">
        <f>SUMIF(V:V,I44,AB:AB)</f>
        <v>0</v>
      </c>
      <c r="AJ44" s="86">
        <f>SUMIF(V:V,N44,AB:AB)</f>
        <v>0</v>
      </c>
      <c r="AM44" s="40">
        <f>G44</f>
        <v>0</v>
      </c>
      <c r="AN44" s="40">
        <f>L44</f>
        <v>0</v>
      </c>
      <c r="AO44" s="40">
        <f>Q44</f>
        <v>0</v>
      </c>
      <c r="AP44" s="40"/>
      <c r="AQ44" s="40">
        <f t="shared" si="13"/>
        <v>0</v>
      </c>
      <c r="AR44" s="40">
        <f t="shared" si="13"/>
        <v>0</v>
      </c>
      <c r="AS44" s="40">
        <f t="shared" si="13"/>
        <v>0</v>
      </c>
      <c r="AT44" s="40"/>
    </row>
    <row r="45" spans="1:46" ht="15" customHeight="1" x14ac:dyDescent="0.35">
      <c r="A45" s="9"/>
      <c r="B45" s="294"/>
      <c r="C45" s="295" t="s">
        <v>65</v>
      </c>
      <c r="D45" s="296"/>
      <c r="E45" s="297">
        <f>IF(F45*AH45=0,0,IF(F45*AH45&gt;0,F45*AH45+20))</f>
        <v>0</v>
      </c>
      <c r="F45" s="298"/>
      <c r="G45" s="299"/>
      <c r="H45" s="300" t="s">
        <v>66</v>
      </c>
      <c r="I45" s="296"/>
      <c r="J45" s="297">
        <f>IF(K45*AI45=0,0,IF(K45*AI45&gt;0,K45*AI45+20))</f>
        <v>0</v>
      </c>
      <c r="K45" s="298"/>
      <c r="L45" s="92"/>
      <c r="M45" s="301" t="s">
        <v>66</v>
      </c>
      <c r="N45" s="302"/>
      <c r="O45" s="90">
        <f>IF(P45*AJ45=0,0,IF(P45*AJ45&gt;0,P45*AJ45+20))</f>
        <v>0</v>
      </c>
      <c r="P45" s="303"/>
      <c r="Q45" s="304"/>
      <c r="R45" s="12"/>
      <c r="S45" s="282"/>
      <c r="T45" s="283"/>
      <c r="V45" s="76" t="s">
        <v>67</v>
      </c>
      <c r="W45" s="287" t="s">
        <v>40</v>
      </c>
      <c r="X45" s="288">
        <v>0.1</v>
      </c>
      <c r="Y45" s="288">
        <v>0.1</v>
      </c>
      <c r="Z45" s="288" t="s">
        <v>40</v>
      </c>
      <c r="AA45" s="264">
        <v>0.1386</v>
      </c>
      <c r="AB45" s="264">
        <v>0.432</v>
      </c>
      <c r="AC45" s="290">
        <v>0.60499999999999998</v>
      </c>
      <c r="AD45" s="291">
        <v>0.30199999999999999</v>
      </c>
      <c r="AF45" s="293"/>
      <c r="AG45" s="305" t="s">
        <v>66</v>
      </c>
      <c r="AH45" s="84">
        <f>SUMIF(V:V,D45,AB:AB)</f>
        <v>0</v>
      </c>
      <c r="AI45" s="85">
        <f>SUMIF(V:V,I45,AB:AB)</f>
        <v>0</v>
      </c>
      <c r="AJ45" s="86">
        <f>SUMIF(V:V,N45,AB:AB)</f>
        <v>0</v>
      </c>
      <c r="AM45" s="40">
        <f>G45</f>
        <v>0</v>
      </c>
      <c r="AN45" s="40">
        <f>L45</f>
        <v>0</v>
      </c>
      <c r="AO45" s="40">
        <f>Q45</f>
        <v>0</v>
      </c>
      <c r="AP45" s="40"/>
      <c r="AQ45" s="40">
        <f t="shared" si="13"/>
        <v>0</v>
      </c>
      <c r="AR45" s="40">
        <f t="shared" si="13"/>
        <v>0</v>
      </c>
      <c r="AS45" s="40">
        <f t="shared" si="13"/>
        <v>0</v>
      </c>
      <c r="AT45" s="40"/>
    </row>
    <row r="46" spans="1:46" ht="15" customHeight="1" x14ac:dyDescent="0.35">
      <c r="A46" s="9"/>
      <c r="B46" s="306">
        <f>E46+J46+O46</f>
        <v>0</v>
      </c>
      <c r="C46" s="111"/>
      <c r="D46" s="283"/>
      <c r="E46" s="307">
        <f>SUM(E41:E45)</f>
        <v>0</v>
      </c>
      <c r="F46" s="308"/>
      <c r="G46" s="309"/>
      <c r="H46" s="310"/>
      <c r="I46" s="283"/>
      <c r="J46" s="307">
        <f>SUM(J41:J45)</f>
        <v>0</v>
      </c>
      <c r="K46" s="308"/>
      <c r="L46" s="311"/>
      <c r="M46" s="148"/>
      <c r="N46" s="312"/>
      <c r="O46" s="313">
        <f>SUM(O41:O45)</f>
        <v>0</v>
      </c>
      <c r="P46" s="114"/>
      <c r="Q46" s="314"/>
      <c r="R46" s="12"/>
      <c r="S46" s="282"/>
      <c r="T46" s="283"/>
      <c r="V46" s="76" t="s">
        <v>68</v>
      </c>
      <c r="W46" s="263" t="s">
        <v>40</v>
      </c>
      <c r="X46" s="284">
        <v>3.3000000000000002E-2</v>
      </c>
      <c r="Y46" s="284">
        <v>3.3000000000000002E-2</v>
      </c>
      <c r="Z46" s="284" t="s">
        <v>40</v>
      </c>
      <c r="AA46" s="264">
        <v>0.14850000000000002</v>
      </c>
      <c r="AB46" s="264">
        <v>0.31476500000000002</v>
      </c>
      <c r="AC46" s="290">
        <v>0.32450000000000001</v>
      </c>
      <c r="AD46" s="285">
        <v>0.26700000000000002</v>
      </c>
      <c r="AF46" s="315"/>
      <c r="AG46" s="316"/>
      <c r="AH46" s="317"/>
      <c r="AI46" s="318"/>
      <c r="AJ46" s="319"/>
      <c r="AM46" s="123">
        <f>SUM(AM41:AM45)</f>
        <v>0</v>
      </c>
      <c r="AN46" s="123">
        <f>SUM(AN41:AN45)</f>
        <v>0</v>
      </c>
      <c r="AO46" s="123">
        <f>SUM(AO41:AO45)</f>
        <v>0</v>
      </c>
      <c r="AP46" s="124">
        <f>SUM(AM46:AO46)</f>
        <v>0</v>
      </c>
      <c r="AQ46" s="123">
        <f>SUM(AQ41:AQ45)</f>
        <v>0</v>
      </c>
      <c r="AR46" s="123">
        <f>SUM(AR41:AR45)</f>
        <v>0</v>
      </c>
      <c r="AS46" s="123">
        <f>SUM(AS41:AS45)</f>
        <v>0</v>
      </c>
      <c r="AT46" s="124">
        <f>SUM(AQ46:AS46)</f>
        <v>0</v>
      </c>
    </row>
    <row r="47" spans="1:46" ht="15" customHeight="1" x14ac:dyDescent="0.35">
      <c r="A47" s="9"/>
      <c r="B47" s="320" t="s">
        <v>59</v>
      </c>
      <c r="C47" s="126" t="s">
        <v>39</v>
      </c>
      <c r="D47" s="127"/>
      <c r="E47" s="128">
        <f>(F47*AH47)</f>
        <v>0</v>
      </c>
      <c r="F47" s="238"/>
      <c r="G47" s="130"/>
      <c r="H47" s="131" t="s">
        <v>39</v>
      </c>
      <c r="I47" s="127"/>
      <c r="J47" s="128">
        <f>(K47*AI47)</f>
        <v>0</v>
      </c>
      <c r="K47" s="238"/>
      <c r="L47" s="130"/>
      <c r="M47" s="131" t="s">
        <v>39</v>
      </c>
      <c r="N47" s="321"/>
      <c r="O47" s="128">
        <f>(P47*AJ47)</f>
        <v>0</v>
      </c>
      <c r="P47" s="238"/>
      <c r="Q47" s="322"/>
      <c r="R47" s="12"/>
      <c r="S47" s="282"/>
      <c r="T47" s="283"/>
      <c r="V47" s="76" t="s">
        <v>69</v>
      </c>
      <c r="W47" s="287" t="s">
        <v>40</v>
      </c>
      <c r="X47" s="323">
        <v>0.25630000000000003</v>
      </c>
      <c r="Y47" s="323">
        <v>0.25630000000000003</v>
      </c>
      <c r="Z47" s="323" t="s">
        <v>40</v>
      </c>
      <c r="AA47" s="264">
        <v>0.19140000000000001</v>
      </c>
      <c r="AB47" s="264">
        <v>0.48</v>
      </c>
      <c r="AC47" s="290">
        <v>0.65500000000000003</v>
      </c>
      <c r="AD47" s="324">
        <v>0.45</v>
      </c>
      <c r="AF47" s="325" t="s">
        <v>59</v>
      </c>
      <c r="AG47" s="135" t="s">
        <v>39</v>
      </c>
      <c r="AH47" s="84">
        <f>SUMIF(V:V,D47,AD:AD)</f>
        <v>0</v>
      </c>
      <c r="AI47" s="85">
        <f>SUMIF(V:V,I47,AD:AD)</f>
        <v>0</v>
      </c>
      <c r="AJ47" s="86">
        <f>SUMIF(V:V,N47,AD:AD)</f>
        <v>0</v>
      </c>
      <c r="AM47" s="40">
        <f>G47</f>
        <v>0</v>
      </c>
      <c r="AN47" s="40">
        <f>L47</f>
        <v>0</v>
      </c>
      <c r="AO47" s="40">
        <f>Q47</f>
        <v>0</v>
      </c>
      <c r="AP47" s="40"/>
      <c r="AQ47" s="40">
        <f t="shared" ref="AQ47:AS51" si="14">AH47*AM47</f>
        <v>0</v>
      </c>
      <c r="AR47" s="40">
        <f t="shared" si="14"/>
        <v>0</v>
      </c>
      <c r="AS47" s="40">
        <f t="shared" si="14"/>
        <v>0</v>
      </c>
      <c r="AT47" s="40"/>
    </row>
    <row r="48" spans="1:46" ht="15" customHeight="1" x14ac:dyDescent="0.35">
      <c r="A48" s="9"/>
      <c r="B48" s="280" t="s">
        <v>8</v>
      </c>
      <c r="C48" s="88" t="s">
        <v>42</v>
      </c>
      <c r="D48" s="89"/>
      <c r="E48" s="90">
        <f>IF(F48*AH48=0,0,IF(F48*AH48&gt;0,F48*AH48+20))</f>
        <v>0</v>
      </c>
      <c r="F48" s="91"/>
      <c r="G48" s="92"/>
      <c r="H48" s="93" t="s">
        <v>42</v>
      </c>
      <c r="I48" s="89"/>
      <c r="J48" s="90">
        <f>IF(K48*AI48=0,0,IF(K48*AI48&gt;0,K48*AI48+20))</f>
        <v>0</v>
      </c>
      <c r="K48" s="91"/>
      <c r="L48" s="92"/>
      <c r="M48" s="93" t="s">
        <v>42</v>
      </c>
      <c r="N48" s="281"/>
      <c r="O48" s="90">
        <f>IF(P48*AJ48=0,0,IF(P48*AJ48&gt;0,P48*AJ48+20))</f>
        <v>0</v>
      </c>
      <c r="P48" s="91"/>
      <c r="Q48" s="215"/>
      <c r="R48" s="12"/>
      <c r="S48" s="282"/>
      <c r="T48" s="283"/>
      <c r="V48" s="76" t="s">
        <v>70</v>
      </c>
      <c r="W48" s="263">
        <v>0.4</v>
      </c>
      <c r="X48" s="284">
        <v>0.26400000000000001</v>
      </c>
      <c r="Y48" s="284">
        <v>0.40400000000000003</v>
      </c>
      <c r="Z48" s="284">
        <v>8.3000000000000004E-2</v>
      </c>
      <c r="AA48" s="264">
        <v>0.17499999999999999</v>
      </c>
      <c r="AB48" s="289">
        <v>0.63049999999999995</v>
      </c>
      <c r="AC48" s="290">
        <v>0.65</v>
      </c>
      <c r="AD48" s="285">
        <v>0.35</v>
      </c>
      <c r="AF48" s="279" t="s">
        <v>8</v>
      </c>
      <c r="AG48" s="95" t="s">
        <v>42</v>
      </c>
      <c r="AH48" s="84">
        <f>SUMIF(V:V,D48,AD:AD)</f>
        <v>0</v>
      </c>
      <c r="AI48" s="85">
        <f>SUMIF(V:V,I48,AD:AD)</f>
        <v>0</v>
      </c>
      <c r="AJ48" s="86">
        <f>SUMIF(V:V,N48,AD:AD)</f>
        <v>0</v>
      </c>
      <c r="AM48" s="40">
        <f>G48</f>
        <v>0</v>
      </c>
      <c r="AN48" s="40">
        <f>L48</f>
        <v>0</v>
      </c>
      <c r="AO48" s="40">
        <f>Q48</f>
        <v>0</v>
      </c>
      <c r="AP48" s="40"/>
      <c r="AQ48" s="40">
        <f t="shared" si="14"/>
        <v>0</v>
      </c>
      <c r="AR48" s="40">
        <f t="shared" si="14"/>
        <v>0</v>
      </c>
      <c r="AS48" s="40">
        <f t="shared" si="14"/>
        <v>0</v>
      </c>
      <c r="AT48" s="40"/>
    </row>
    <row r="49" spans="1:46" ht="15" customHeight="1" x14ac:dyDescent="0.35">
      <c r="A49" s="9"/>
      <c r="B49" s="280" t="s">
        <v>62</v>
      </c>
      <c r="C49" s="88" t="s">
        <v>44</v>
      </c>
      <c r="D49" s="89"/>
      <c r="E49" s="90">
        <f>IF(F49*AH49=0,0,IF(F49*AH49&gt;0,F49*AH49+20))</f>
        <v>0</v>
      </c>
      <c r="F49" s="91"/>
      <c r="G49" s="92"/>
      <c r="H49" s="93" t="s">
        <v>44</v>
      </c>
      <c r="I49" s="89"/>
      <c r="J49" s="90">
        <f>IF(K49*AI49=0,0,IF(K49*AI49&gt;0,K49*AI49+20))</f>
        <v>0</v>
      </c>
      <c r="K49" s="91"/>
      <c r="L49" s="92"/>
      <c r="M49" s="93" t="s">
        <v>44</v>
      </c>
      <c r="N49" s="281"/>
      <c r="O49" s="90">
        <f>IF(P49*AJ49=0,0,IF(P49*AJ49&gt;0,P49*AJ49+20))</f>
        <v>0</v>
      </c>
      <c r="P49" s="91"/>
      <c r="Q49" s="215"/>
      <c r="R49" s="12"/>
      <c r="S49" s="282"/>
      <c r="T49" s="283"/>
      <c r="V49" s="76" t="s">
        <v>71</v>
      </c>
      <c r="W49" s="287">
        <v>0.4</v>
      </c>
      <c r="X49" s="323">
        <v>0.26400000000000001</v>
      </c>
      <c r="Y49" s="323">
        <v>0.40400000000000003</v>
      </c>
      <c r="Z49" s="323">
        <v>8.3000000000000004E-2</v>
      </c>
      <c r="AA49" s="264">
        <v>0.17499999999999999</v>
      </c>
      <c r="AB49" s="264">
        <v>0.63049999999999995</v>
      </c>
      <c r="AC49" s="290">
        <v>0.65</v>
      </c>
      <c r="AD49" s="324">
        <v>0.35</v>
      </c>
      <c r="AF49" s="279" t="s">
        <v>62</v>
      </c>
      <c r="AG49" s="95" t="s">
        <v>44</v>
      </c>
      <c r="AH49" s="84">
        <f>SUMIF(V:V,D49,AD:AD)</f>
        <v>0</v>
      </c>
      <c r="AI49" s="85">
        <f>SUMIF(V:V,I49,AD:AD)</f>
        <v>0</v>
      </c>
      <c r="AJ49" s="86">
        <f>SUMIF(V:V,N49,AD:AD)</f>
        <v>0</v>
      </c>
      <c r="AM49" s="40">
        <f>G49</f>
        <v>0</v>
      </c>
      <c r="AN49" s="40">
        <f>L49</f>
        <v>0</v>
      </c>
      <c r="AO49" s="40">
        <f>Q49</f>
        <v>0</v>
      </c>
      <c r="AP49" s="40"/>
      <c r="AQ49" s="40">
        <f t="shared" si="14"/>
        <v>0</v>
      </c>
      <c r="AR49" s="40">
        <f t="shared" si="14"/>
        <v>0</v>
      </c>
      <c r="AS49" s="40">
        <f t="shared" si="14"/>
        <v>0</v>
      </c>
      <c r="AT49" s="40"/>
    </row>
    <row r="50" spans="1:46" ht="15" customHeight="1" x14ac:dyDescent="0.35">
      <c r="A50" s="9"/>
      <c r="B50" s="294" t="s">
        <v>45</v>
      </c>
      <c r="C50" s="88" t="s">
        <v>46</v>
      </c>
      <c r="D50" s="89"/>
      <c r="E50" s="90">
        <f>IF(F50*AH50=0,0,IF(F50*AH50&gt;0,F50*AH50+20))</f>
        <v>0</v>
      </c>
      <c r="F50" s="91"/>
      <c r="G50" s="92"/>
      <c r="H50" s="93" t="s">
        <v>46</v>
      </c>
      <c r="I50" s="89"/>
      <c r="J50" s="90">
        <f>IF(K50*AI50=0,0,IF(K50*AI50&gt;0,K50*AI50+20))</f>
        <v>0</v>
      </c>
      <c r="K50" s="91"/>
      <c r="L50" s="92"/>
      <c r="M50" s="93" t="s">
        <v>46</v>
      </c>
      <c r="N50" s="281"/>
      <c r="O50" s="90">
        <f>IF(P50*AJ50=0,0,IF(P50*AJ50&gt;0,P50*AJ50+20))</f>
        <v>0</v>
      </c>
      <c r="P50" s="91"/>
      <c r="Q50" s="215"/>
      <c r="R50" s="12"/>
      <c r="S50" s="282"/>
      <c r="T50" s="283"/>
      <c r="V50" s="76" t="s">
        <v>72</v>
      </c>
      <c r="W50" s="263" t="s">
        <v>40</v>
      </c>
      <c r="X50" s="284" t="s">
        <v>40</v>
      </c>
      <c r="Y50" s="284" t="s">
        <v>40</v>
      </c>
      <c r="Z50" s="284" t="s">
        <v>40</v>
      </c>
      <c r="AA50" s="264">
        <v>0.1</v>
      </c>
      <c r="AB50" s="264">
        <v>6.4990000000000006E-2</v>
      </c>
      <c r="AC50" s="290">
        <v>6.7000000000000004E-2</v>
      </c>
      <c r="AD50" s="285">
        <v>6.7000000000000004E-2</v>
      </c>
      <c r="AF50" s="326" t="s">
        <v>45</v>
      </c>
      <c r="AG50" s="95" t="s">
        <v>46</v>
      </c>
      <c r="AH50" s="84">
        <f>SUMIF(V:V,D50,AD:AD)</f>
        <v>0</v>
      </c>
      <c r="AI50" s="85">
        <f>SUMIF(V:V,I50,AD:AD)</f>
        <v>0</v>
      </c>
      <c r="AJ50" s="86">
        <f>SUMIF(V:V,N50,AD:AD)</f>
        <v>0</v>
      </c>
      <c r="AM50" s="40">
        <f>G50</f>
        <v>0</v>
      </c>
      <c r="AN50" s="40">
        <f>L50</f>
        <v>0</v>
      </c>
      <c r="AO50" s="40">
        <f>Q50</f>
        <v>0</v>
      </c>
      <c r="AP50" s="40"/>
      <c r="AQ50" s="40">
        <f t="shared" si="14"/>
        <v>0</v>
      </c>
      <c r="AR50" s="40">
        <f t="shared" si="14"/>
        <v>0</v>
      </c>
      <c r="AS50" s="40">
        <f t="shared" si="14"/>
        <v>0</v>
      </c>
      <c r="AT50" s="40"/>
    </row>
    <row r="51" spans="1:46" ht="15" customHeight="1" x14ac:dyDescent="0.35">
      <c r="A51" s="9"/>
      <c r="B51" s="294"/>
      <c r="C51" s="102" t="s">
        <v>47</v>
      </c>
      <c r="D51" s="296"/>
      <c r="E51" s="297">
        <f>IF(F51*AH51=0,0,IF(F51*AH51&gt;0,F51*AH51+20))</f>
        <v>0</v>
      </c>
      <c r="F51" s="298"/>
      <c r="G51" s="299"/>
      <c r="H51" s="300" t="s">
        <v>47</v>
      </c>
      <c r="I51" s="296"/>
      <c r="J51" s="297">
        <f>IF(K51*AI51=0,0,IF(K51*AI51&gt;0,K51*AI51+20))</f>
        <v>0</v>
      </c>
      <c r="K51" s="298"/>
      <c r="L51" s="299"/>
      <c r="M51" s="300" t="s">
        <v>47</v>
      </c>
      <c r="N51" s="327"/>
      <c r="O51" s="109">
        <f>IF(P51*AJ51=0,0,IF(P51*AJ51&gt;0,P51*AJ51+20))</f>
        <v>0</v>
      </c>
      <c r="P51" s="104"/>
      <c r="Q51" s="328"/>
      <c r="R51" s="12"/>
      <c r="S51" s="282"/>
      <c r="T51" s="283"/>
      <c r="V51" s="76" t="s">
        <v>73</v>
      </c>
      <c r="W51" s="287">
        <v>0.4</v>
      </c>
      <c r="X51" s="323">
        <v>0.26400000000000001</v>
      </c>
      <c r="Y51" s="323">
        <v>0.40400000000000003</v>
      </c>
      <c r="Z51" s="323">
        <v>8.3000000000000004E-2</v>
      </c>
      <c r="AA51" s="264">
        <v>0.17499999999999999</v>
      </c>
      <c r="AB51" s="264">
        <v>0.63049999999999995</v>
      </c>
      <c r="AC51" s="290">
        <v>0.65</v>
      </c>
      <c r="AD51" s="324">
        <v>0.35</v>
      </c>
      <c r="AF51" s="326"/>
      <c r="AG51" s="95" t="s">
        <v>47</v>
      </c>
      <c r="AH51" s="84">
        <f>SUMIF(V:V,D51,AD:AD)</f>
        <v>0</v>
      </c>
      <c r="AI51" s="85">
        <f>SUMIF(V:V,I51,AD:AD)</f>
        <v>0</v>
      </c>
      <c r="AJ51" s="86">
        <f>SUMIF(V:V,N51,AD:AD)</f>
        <v>0</v>
      </c>
      <c r="AM51" s="40">
        <f>G51</f>
        <v>0</v>
      </c>
      <c r="AN51" s="40">
        <f>L51</f>
        <v>0</v>
      </c>
      <c r="AO51" s="40">
        <f>Q51</f>
        <v>0</v>
      </c>
      <c r="AP51" s="40"/>
      <c r="AQ51" s="40">
        <f t="shared" si="14"/>
        <v>0</v>
      </c>
      <c r="AR51" s="40">
        <f t="shared" si="14"/>
        <v>0</v>
      </c>
      <c r="AS51" s="40">
        <f t="shared" si="14"/>
        <v>0</v>
      </c>
      <c r="AT51" s="40"/>
    </row>
    <row r="52" spans="1:46" ht="15" customHeight="1" x14ac:dyDescent="0.35">
      <c r="A52" s="9"/>
      <c r="B52" s="306">
        <f>E52+J52+O52</f>
        <v>0</v>
      </c>
      <c r="C52" s="111"/>
      <c r="D52" s="329"/>
      <c r="E52" s="330">
        <f>SUM(E47:E51)</f>
        <v>0</v>
      </c>
      <c r="F52" s="331"/>
      <c r="G52" s="332"/>
      <c r="H52" s="333"/>
      <c r="I52" s="329"/>
      <c r="J52" s="330">
        <f>SUM(J47:J51)</f>
        <v>0</v>
      </c>
      <c r="K52" s="331"/>
      <c r="L52" s="334"/>
      <c r="M52" s="333"/>
      <c r="N52" s="312"/>
      <c r="O52" s="313">
        <f>SUM(O47:O51)</f>
        <v>0</v>
      </c>
      <c r="P52" s="114"/>
      <c r="Q52" s="314"/>
      <c r="R52" s="12"/>
      <c r="S52" s="282"/>
      <c r="T52" s="283"/>
      <c r="V52" s="76" t="s">
        <v>74</v>
      </c>
      <c r="W52" s="263">
        <v>0.4</v>
      </c>
      <c r="X52" s="284">
        <v>0.26400000000000001</v>
      </c>
      <c r="Y52" s="284">
        <v>0.40400000000000003</v>
      </c>
      <c r="Z52" s="284">
        <v>8.3000000000000004E-2</v>
      </c>
      <c r="AA52" s="264">
        <v>0.17499999999999999</v>
      </c>
      <c r="AB52" s="264">
        <v>0.63049999999999995</v>
      </c>
      <c r="AC52" s="290">
        <v>0.65</v>
      </c>
      <c r="AD52" s="285">
        <v>0.35</v>
      </c>
      <c r="AF52" s="335"/>
      <c r="AG52" s="316"/>
      <c r="AH52" s="317"/>
      <c r="AI52" s="318"/>
      <c r="AJ52" s="319"/>
      <c r="AM52" s="123">
        <f>SUM(AM47:AM51)</f>
        <v>0</v>
      </c>
      <c r="AN52" s="123">
        <f>SUM(AN47:AN51)</f>
        <v>0</v>
      </c>
      <c r="AO52" s="123">
        <f>SUM(AO47:AO51)</f>
        <v>0</v>
      </c>
      <c r="AP52" s="124">
        <f>SUM(AM52:AO52)</f>
        <v>0</v>
      </c>
      <c r="AQ52" s="123">
        <f>SUM(AQ47:AQ51)</f>
        <v>0</v>
      </c>
      <c r="AR52" s="123">
        <f>SUM(AR47:AR51)</f>
        <v>0</v>
      </c>
      <c r="AS52" s="123">
        <f>SUM(AS47:AS51)</f>
        <v>0</v>
      </c>
      <c r="AT52" s="124">
        <f>SUM(AQ52:AS52)</f>
        <v>0</v>
      </c>
    </row>
    <row r="53" spans="1:46" ht="15" customHeight="1" x14ac:dyDescent="0.35">
      <c r="A53" s="9"/>
      <c r="B53" s="320" t="s">
        <v>59</v>
      </c>
      <c r="C53" s="126" t="s">
        <v>39</v>
      </c>
      <c r="D53" s="336"/>
      <c r="E53" s="128">
        <f>(F53*AH53)</f>
        <v>0</v>
      </c>
      <c r="F53" s="238"/>
      <c r="G53" s="130"/>
      <c r="H53" s="131" t="s">
        <v>39</v>
      </c>
      <c r="I53" s="127"/>
      <c r="J53" s="128">
        <f>(K53*AI53)</f>
        <v>0</v>
      </c>
      <c r="K53" s="238"/>
      <c r="L53" s="130"/>
      <c r="M53" s="131" t="s">
        <v>39</v>
      </c>
      <c r="N53" s="337"/>
      <c r="O53" s="128">
        <f>(P53*AJ53)</f>
        <v>0</v>
      </c>
      <c r="P53" s="238"/>
      <c r="Q53" s="322"/>
      <c r="R53" s="12"/>
      <c r="S53" s="282"/>
      <c r="T53" s="283"/>
      <c r="V53" s="76" t="s">
        <v>75</v>
      </c>
      <c r="W53" s="287" t="s">
        <v>40</v>
      </c>
      <c r="X53" s="323" t="s">
        <v>40</v>
      </c>
      <c r="Y53" s="323" t="s">
        <v>40</v>
      </c>
      <c r="Z53" s="323" t="s">
        <v>40</v>
      </c>
      <c r="AA53" s="264">
        <v>0.1</v>
      </c>
      <c r="AB53" s="264">
        <v>6.4990000000000006E-2</v>
      </c>
      <c r="AC53" s="290">
        <v>6.7000000000000004E-2</v>
      </c>
      <c r="AD53" s="324">
        <v>6.7000000000000004E-2</v>
      </c>
      <c r="AF53" s="325" t="s">
        <v>59</v>
      </c>
      <c r="AG53" s="95" t="s">
        <v>39</v>
      </c>
      <c r="AH53" s="84">
        <f>SUMIF(V:V,D53,AD:AD)</f>
        <v>0</v>
      </c>
      <c r="AI53" s="85">
        <f>SUMIF(V:V,I53,AD:AD)</f>
        <v>0</v>
      </c>
      <c r="AJ53" s="86">
        <f>SUMIF(V:V,N53,AD:AD)</f>
        <v>0</v>
      </c>
      <c r="AM53" s="40">
        <f>G53</f>
        <v>0</v>
      </c>
      <c r="AN53" s="40">
        <f>L53</f>
        <v>0</v>
      </c>
      <c r="AO53" s="40">
        <f>Q53</f>
        <v>0</v>
      </c>
      <c r="AP53" s="40"/>
      <c r="AQ53" s="40">
        <f t="shared" ref="AQ53:AS57" si="15">AH53*AM53</f>
        <v>0</v>
      </c>
      <c r="AR53" s="40">
        <f t="shared" si="15"/>
        <v>0</v>
      </c>
      <c r="AS53" s="40">
        <f t="shared" si="15"/>
        <v>0</v>
      </c>
      <c r="AT53" s="40"/>
    </row>
    <row r="54" spans="1:46" ht="15" customHeight="1" x14ac:dyDescent="0.35">
      <c r="A54" s="9"/>
      <c r="B54" s="280" t="s">
        <v>8</v>
      </c>
      <c r="C54" s="88" t="s">
        <v>42</v>
      </c>
      <c r="D54" s="89"/>
      <c r="E54" s="90">
        <f>IF(F54*AH54=0,0,IF(F54*AH54&gt;0,F54*AH54+20))</f>
        <v>0</v>
      </c>
      <c r="F54" s="91"/>
      <c r="G54" s="92"/>
      <c r="H54" s="93" t="s">
        <v>42</v>
      </c>
      <c r="I54" s="89"/>
      <c r="J54" s="90">
        <f>IF(K54*AI54=0,0,IF(K54*AI54&gt;0,K54*AI54+20))</f>
        <v>0</v>
      </c>
      <c r="K54" s="91"/>
      <c r="L54" s="92"/>
      <c r="M54" s="93" t="s">
        <v>42</v>
      </c>
      <c r="N54" s="286"/>
      <c r="O54" s="90">
        <f>IF(P54*AJ54=0,0,IF(P54*AJ54&gt;0,P54*AJ54+20))</f>
        <v>0</v>
      </c>
      <c r="P54" s="91"/>
      <c r="Q54" s="215"/>
      <c r="R54" s="12"/>
      <c r="S54" s="282"/>
      <c r="T54" s="283"/>
      <c r="V54" s="76" t="s">
        <v>76</v>
      </c>
      <c r="W54" s="263">
        <v>0.4</v>
      </c>
      <c r="X54" s="284">
        <v>0.26400000000000001</v>
      </c>
      <c r="Y54" s="284">
        <v>0.40400000000000003</v>
      </c>
      <c r="Z54" s="284">
        <v>8.3000000000000004E-2</v>
      </c>
      <c r="AA54" s="264">
        <v>0.17499999999999999</v>
      </c>
      <c r="AB54" s="264">
        <v>0.63049999999999995</v>
      </c>
      <c r="AC54" s="290">
        <v>0.65</v>
      </c>
      <c r="AD54" s="285">
        <v>0.35</v>
      </c>
      <c r="AF54" s="279" t="s">
        <v>8</v>
      </c>
      <c r="AG54" s="95" t="s">
        <v>42</v>
      </c>
      <c r="AH54" s="84">
        <f>SUMIF(V:V,D54,AD:AD)</f>
        <v>0</v>
      </c>
      <c r="AI54" s="85">
        <f>SUMIF(V:V,I54,AD:AD)</f>
        <v>0</v>
      </c>
      <c r="AJ54" s="86">
        <f>SUMIF(V:V,N54,AD:AD)</f>
        <v>0</v>
      </c>
      <c r="AM54" s="40">
        <f>G54</f>
        <v>0</v>
      </c>
      <c r="AN54" s="40">
        <f>L54</f>
        <v>0</v>
      </c>
      <c r="AO54" s="40">
        <f>Q54</f>
        <v>0</v>
      </c>
      <c r="AP54" s="40"/>
      <c r="AQ54" s="40">
        <f t="shared" si="15"/>
        <v>0</v>
      </c>
      <c r="AR54" s="40">
        <f t="shared" si="15"/>
        <v>0</v>
      </c>
      <c r="AS54" s="40">
        <f t="shared" si="15"/>
        <v>0</v>
      </c>
      <c r="AT54" s="40"/>
    </row>
    <row r="55" spans="1:46" ht="15" customHeight="1" x14ac:dyDescent="0.35">
      <c r="A55" s="9"/>
      <c r="B55" s="280" t="s">
        <v>62</v>
      </c>
      <c r="C55" s="88" t="s">
        <v>44</v>
      </c>
      <c r="D55" s="89"/>
      <c r="E55" s="90">
        <f>IF(F55*AH55=0,0,IF(F55*AH55&gt;0,F55*AH55+20))</f>
        <v>0</v>
      </c>
      <c r="F55" s="91"/>
      <c r="G55" s="92"/>
      <c r="H55" s="93" t="s">
        <v>44</v>
      </c>
      <c r="I55" s="89"/>
      <c r="J55" s="90">
        <f>IF(K55*AI55=0,0,IF(K55*AI55&gt;0,K55*AI55+20))</f>
        <v>0</v>
      </c>
      <c r="K55" s="91"/>
      <c r="L55" s="92"/>
      <c r="M55" s="93" t="s">
        <v>44</v>
      </c>
      <c r="N55" s="286"/>
      <c r="O55" s="90">
        <f>IF(P55*AJ55=0,0,IF(P55*AJ55&gt;0,P55*AJ55+20))</f>
        <v>0</v>
      </c>
      <c r="P55" s="91"/>
      <c r="Q55" s="215"/>
      <c r="R55" s="12"/>
      <c r="S55" s="282"/>
      <c r="T55" s="283"/>
      <c r="V55" s="76" t="s">
        <v>77</v>
      </c>
      <c r="W55" s="287">
        <v>0.4</v>
      </c>
      <c r="X55" s="323">
        <v>0.26400000000000001</v>
      </c>
      <c r="Y55" s="323">
        <v>0.40400000000000003</v>
      </c>
      <c r="Z55" s="323">
        <v>8.3000000000000004E-2</v>
      </c>
      <c r="AA55" s="264">
        <v>0.17499999999999999</v>
      </c>
      <c r="AB55" s="264">
        <v>0.67899999999999994</v>
      </c>
      <c r="AC55" s="290">
        <v>0.7</v>
      </c>
      <c r="AD55" s="324">
        <v>0.4</v>
      </c>
      <c r="AF55" s="279" t="s">
        <v>62</v>
      </c>
      <c r="AG55" s="95" t="s">
        <v>44</v>
      </c>
      <c r="AH55" s="84">
        <f>SUMIF(V:V,D55,AD:AD)</f>
        <v>0</v>
      </c>
      <c r="AI55" s="85">
        <f>SUMIF(V:V,I55,AD:AD)</f>
        <v>0</v>
      </c>
      <c r="AJ55" s="86">
        <f>SUMIF(V:V,N55,AD:AD)</f>
        <v>0</v>
      </c>
      <c r="AM55" s="40">
        <f>G55</f>
        <v>0</v>
      </c>
      <c r="AN55" s="40">
        <f>L55</f>
        <v>0</v>
      </c>
      <c r="AO55" s="40">
        <f>Q55</f>
        <v>0</v>
      </c>
      <c r="AP55" s="40"/>
      <c r="AQ55" s="40">
        <f t="shared" si="15"/>
        <v>0</v>
      </c>
      <c r="AR55" s="40">
        <f t="shared" si="15"/>
        <v>0</v>
      </c>
      <c r="AS55" s="40">
        <f t="shared" si="15"/>
        <v>0</v>
      </c>
      <c r="AT55" s="40"/>
    </row>
    <row r="56" spans="1:46" ht="15" customHeight="1" x14ac:dyDescent="0.35">
      <c r="A56" s="9"/>
      <c r="B56" s="292" t="s">
        <v>49</v>
      </c>
      <c r="C56" s="102" t="s">
        <v>46</v>
      </c>
      <c r="D56" s="89"/>
      <c r="E56" s="90">
        <f>IF(F56*AH56=0,0,IF(F56*AH56&gt;0,F56*AH56+20))</f>
        <v>0</v>
      </c>
      <c r="F56" s="91"/>
      <c r="G56" s="92"/>
      <c r="H56" s="93" t="s">
        <v>46</v>
      </c>
      <c r="I56" s="89"/>
      <c r="J56" s="90">
        <f>IF(K56*AI56=0,0,IF(K56*AI56&gt;0,K56*AI56+20))</f>
        <v>0</v>
      </c>
      <c r="K56" s="91"/>
      <c r="L56" s="92"/>
      <c r="M56" s="93" t="s">
        <v>46</v>
      </c>
      <c r="N56" s="286"/>
      <c r="O56" s="90">
        <f>IF(P56*AJ56=0,0,IF(P56*AJ56&gt;0,P56*AJ56+20))</f>
        <v>0</v>
      </c>
      <c r="P56" s="91"/>
      <c r="Q56" s="215"/>
      <c r="R56" s="12"/>
      <c r="S56" s="338"/>
      <c r="V56" s="76" t="s">
        <v>78</v>
      </c>
      <c r="W56" s="263">
        <v>0.4</v>
      </c>
      <c r="X56" s="284">
        <v>0.26400000000000001</v>
      </c>
      <c r="Y56" s="284">
        <v>0.40400000000000003</v>
      </c>
      <c r="Z56" s="284">
        <v>8.3000000000000004E-2</v>
      </c>
      <c r="AA56" s="264">
        <v>0.17499999999999999</v>
      </c>
      <c r="AB56" s="264">
        <v>0.63049999999999995</v>
      </c>
      <c r="AC56" s="290">
        <v>0.65</v>
      </c>
      <c r="AD56" s="285">
        <v>0.35</v>
      </c>
      <c r="AF56" s="293" t="s">
        <v>49</v>
      </c>
      <c r="AG56" s="95" t="s">
        <v>46</v>
      </c>
      <c r="AH56" s="84">
        <f>SUMIF(V:V,D56,AD:AD)</f>
        <v>0</v>
      </c>
      <c r="AI56" s="85">
        <f>SUMIF(V:V,I56,AD:AD)</f>
        <v>0</v>
      </c>
      <c r="AJ56" s="86">
        <f>SUMIF(V:V,N56,AD:AD)</f>
        <v>0</v>
      </c>
      <c r="AM56" s="40">
        <f>G56</f>
        <v>0</v>
      </c>
      <c r="AN56" s="40">
        <f>L56</f>
        <v>0</v>
      </c>
      <c r="AO56" s="40">
        <f>Q56</f>
        <v>0</v>
      </c>
      <c r="AP56" s="40"/>
      <c r="AQ56" s="40">
        <f t="shared" si="15"/>
        <v>0</v>
      </c>
      <c r="AR56" s="40">
        <f t="shared" si="15"/>
        <v>0</v>
      </c>
      <c r="AS56" s="40">
        <f t="shared" si="15"/>
        <v>0</v>
      </c>
      <c r="AT56" s="40"/>
    </row>
    <row r="57" spans="1:46" ht="15" customHeight="1" x14ac:dyDescent="0.35">
      <c r="A57" s="9"/>
      <c r="B57" s="280"/>
      <c r="C57" s="102" t="s">
        <v>47</v>
      </c>
      <c r="D57" s="296"/>
      <c r="E57" s="297">
        <f>IF(F57*AH57=0,0,IF(F57*AH57&gt;0,F57*AH57+20))</f>
        <v>0</v>
      </c>
      <c r="F57" s="298"/>
      <c r="G57" s="299"/>
      <c r="H57" s="300" t="s">
        <v>47</v>
      </c>
      <c r="I57" s="296"/>
      <c r="J57" s="297">
        <f>IF(K57*AI57=0,0,IF(K57*AI57&gt;0,K57*AI57+20))</f>
        <v>0</v>
      </c>
      <c r="K57" s="298"/>
      <c r="L57" s="299"/>
      <c r="M57" s="300" t="s">
        <v>47</v>
      </c>
      <c r="N57" s="339"/>
      <c r="O57" s="297">
        <f>IF(P57*AJ57=0,0,IF(P57*AJ57&gt;0,P57*AJ57+20))</f>
        <v>0</v>
      </c>
      <c r="P57" s="298"/>
      <c r="Q57" s="340"/>
      <c r="R57" s="12"/>
      <c r="S57" s="338"/>
      <c r="V57" s="76" t="s">
        <v>79</v>
      </c>
      <c r="W57" s="287">
        <v>0.4</v>
      </c>
      <c r="X57" s="323">
        <v>0.26400000000000001</v>
      </c>
      <c r="Y57" s="323">
        <v>0.40400000000000003</v>
      </c>
      <c r="Z57" s="323">
        <v>8.3000000000000004E-2</v>
      </c>
      <c r="AA57" s="264">
        <v>0.17499999999999999</v>
      </c>
      <c r="AB57" s="264">
        <v>0.67899999999999994</v>
      </c>
      <c r="AC57" s="290">
        <v>0.7</v>
      </c>
      <c r="AD57" s="324">
        <v>0.4</v>
      </c>
      <c r="AF57" s="279"/>
      <c r="AG57" s="95" t="s">
        <v>47</v>
      </c>
      <c r="AH57" s="84">
        <f>SUMIF(V:V,D57,AD:AD)</f>
        <v>0</v>
      </c>
      <c r="AI57" s="85">
        <f>SUMIF(V:V,I57,AD:AD)</f>
        <v>0</v>
      </c>
      <c r="AJ57" s="86">
        <f>SUMIF(V:V,N57,AD:AD)</f>
        <v>0</v>
      </c>
      <c r="AM57" s="40">
        <f>G57</f>
        <v>0</v>
      </c>
      <c r="AN57" s="40">
        <f>L57</f>
        <v>0</v>
      </c>
      <c r="AO57" s="40">
        <f>Q57</f>
        <v>0</v>
      </c>
      <c r="AP57" s="40"/>
      <c r="AQ57" s="40">
        <f t="shared" si="15"/>
        <v>0</v>
      </c>
      <c r="AR57" s="40">
        <f t="shared" si="15"/>
        <v>0</v>
      </c>
      <c r="AS57" s="40">
        <f t="shared" si="15"/>
        <v>0</v>
      </c>
      <c r="AT57" s="40"/>
    </row>
    <row r="58" spans="1:46" ht="15" customHeight="1" x14ac:dyDescent="0.35">
      <c r="A58" s="9"/>
      <c r="B58" s="306">
        <f>E58+J58+O58</f>
        <v>0</v>
      </c>
      <c r="C58" s="111"/>
      <c r="D58" s="329"/>
      <c r="E58" s="330">
        <f>SUM(E53:E57)</f>
        <v>0</v>
      </c>
      <c r="F58" s="331"/>
      <c r="G58" s="332"/>
      <c r="H58" s="333"/>
      <c r="I58" s="329"/>
      <c r="J58" s="330">
        <f>SUM(J53:J57)</f>
        <v>0</v>
      </c>
      <c r="K58" s="331"/>
      <c r="L58" s="341"/>
      <c r="M58" s="333"/>
      <c r="N58" s="312"/>
      <c r="O58" s="342">
        <f>SUM(O53:O57)</f>
        <v>0</v>
      </c>
      <c r="P58" s="331"/>
      <c r="Q58" s="343"/>
      <c r="R58" s="12"/>
      <c r="S58" s="338"/>
      <c r="V58" s="253" t="s">
        <v>57</v>
      </c>
      <c r="W58" s="287" t="s">
        <v>40</v>
      </c>
      <c r="X58" s="323" t="s">
        <v>40</v>
      </c>
      <c r="Y58" s="323" t="s">
        <v>40</v>
      </c>
      <c r="Z58" s="323" t="s">
        <v>40</v>
      </c>
      <c r="AA58" s="264">
        <v>0.1</v>
      </c>
      <c r="AB58" s="264">
        <v>6.4990000000000006E-2</v>
      </c>
      <c r="AC58" s="290">
        <v>6.7000000000000004E-2</v>
      </c>
      <c r="AD58" s="324">
        <v>6.7000000000000004E-2</v>
      </c>
      <c r="AF58" s="315"/>
      <c r="AG58" s="316"/>
      <c r="AH58" s="317"/>
      <c r="AI58" s="318"/>
      <c r="AJ58" s="319"/>
      <c r="AM58" s="123">
        <f>SUM(AM53:AM57)</f>
        <v>0</v>
      </c>
      <c r="AN58" s="123">
        <f>SUM(AN53:AN57)</f>
        <v>0</v>
      </c>
      <c r="AO58" s="123">
        <f>SUM(AO53:AO57)</f>
        <v>0</v>
      </c>
      <c r="AP58" s="124">
        <f>SUM(AM58:AO58)</f>
        <v>0</v>
      </c>
      <c r="AQ58" s="123">
        <f>SUM(AQ53:AQ57)</f>
        <v>0</v>
      </c>
      <c r="AR58" s="123">
        <f>SUM(AR53:AR57)</f>
        <v>0</v>
      </c>
      <c r="AS58" s="123">
        <f>SUM(AS53:AS57)</f>
        <v>0</v>
      </c>
      <c r="AT58" s="124">
        <f>SUM(AQ58:AS58)</f>
        <v>0</v>
      </c>
    </row>
    <row r="59" spans="1:46" ht="15" customHeight="1" x14ac:dyDescent="0.35">
      <c r="A59" s="9"/>
      <c r="B59" s="344" t="s">
        <v>80</v>
      </c>
      <c r="C59" s="345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12"/>
      <c r="S59" s="338"/>
      <c r="V59" s="76" t="s">
        <v>81</v>
      </c>
      <c r="W59" s="287">
        <v>0.4</v>
      </c>
      <c r="X59" s="288">
        <v>0.26400000000000001</v>
      </c>
      <c r="Y59" s="288">
        <v>0.40400000000000003</v>
      </c>
      <c r="Z59" s="288">
        <v>8.3000000000000004E-2</v>
      </c>
      <c r="AA59" s="288">
        <v>0.17499999999999999</v>
      </c>
      <c r="AB59" s="288">
        <v>0.67899999999999994</v>
      </c>
      <c r="AC59" s="288">
        <v>0.7</v>
      </c>
      <c r="AD59" s="265">
        <v>0.4</v>
      </c>
      <c r="AN59"/>
      <c r="AO59"/>
      <c r="AP59"/>
      <c r="AQ59"/>
      <c r="AR59"/>
    </row>
    <row r="60" spans="1:46" ht="15" customHeight="1" x14ac:dyDescent="0.35">
      <c r="A60" s="9"/>
      <c r="B60" s="347"/>
      <c r="C60" s="347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48"/>
      <c r="P60" s="348"/>
      <c r="Q60" s="348"/>
      <c r="R60" s="12"/>
      <c r="S60" s="5"/>
      <c r="V60" s="76" t="s">
        <v>82</v>
      </c>
      <c r="W60" s="287">
        <v>0.4</v>
      </c>
      <c r="X60" s="288">
        <v>0.26400000000000001</v>
      </c>
      <c r="Y60" s="288">
        <v>0.40400000000000003</v>
      </c>
      <c r="Z60" s="288">
        <v>8.3000000000000004E-2</v>
      </c>
      <c r="AA60" s="288">
        <v>0.17499999999999999</v>
      </c>
      <c r="AB60" s="288">
        <v>0.63049999999999995</v>
      </c>
      <c r="AC60" s="288">
        <v>0.65</v>
      </c>
      <c r="AD60" s="349">
        <v>0.35</v>
      </c>
      <c r="AN60"/>
      <c r="AO60"/>
      <c r="AP60"/>
      <c r="AQ60"/>
      <c r="AR60"/>
    </row>
    <row r="61" spans="1:46" ht="14.15" customHeight="1" x14ac:dyDescent="0.35">
      <c r="A61" s="9"/>
      <c r="B61" s="347"/>
      <c r="C61" s="347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48"/>
      <c r="P61" s="348"/>
      <c r="Q61" s="348"/>
      <c r="R61" s="12"/>
      <c r="V61" s="76" t="s">
        <v>83</v>
      </c>
      <c r="W61" s="287">
        <v>0.4</v>
      </c>
      <c r="X61" s="264">
        <v>0.26400000000000001</v>
      </c>
      <c r="Y61" s="264">
        <v>0.40400000000000003</v>
      </c>
      <c r="Z61" s="288">
        <v>8.3000000000000004E-2</v>
      </c>
      <c r="AA61" s="264">
        <v>0.17499999999999999</v>
      </c>
      <c r="AB61" s="290">
        <v>0.63049999999999995</v>
      </c>
      <c r="AC61" s="290">
        <v>0.65</v>
      </c>
      <c r="AD61" s="291">
        <v>0.35</v>
      </c>
      <c r="AN61"/>
      <c r="AO61"/>
      <c r="AP61"/>
      <c r="AQ61"/>
      <c r="AR61"/>
    </row>
    <row r="62" spans="1:46" ht="14.15" customHeight="1" x14ac:dyDescent="0.35">
      <c r="A62" s="9"/>
      <c r="B62" s="347"/>
      <c r="C62" s="347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8"/>
      <c r="P62" s="348"/>
      <c r="Q62" s="348"/>
      <c r="R62" s="12"/>
      <c r="V62" s="76" t="s">
        <v>84</v>
      </c>
      <c r="W62" s="287" t="s">
        <v>40</v>
      </c>
      <c r="X62" s="288" t="s">
        <v>40</v>
      </c>
      <c r="Y62" s="288" t="s">
        <v>40</v>
      </c>
      <c r="Z62" s="288" t="s">
        <v>40</v>
      </c>
      <c r="AA62" s="288">
        <v>0.1</v>
      </c>
      <c r="AB62" s="288">
        <v>6.4990000000000006E-2</v>
      </c>
      <c r="AC62" s="288">
        <v>6.7000000000000004E-2</v>
      </c>
      <c r="AD62" s="349">
        <v>0.4</v>
      </c>
      <c r="AN62"/>
      <c r="AO62"/>
      <c r="AP62"/>
      <c r="AQ62"/>
      <c r="AR62"/>
    </row>
    <row r="63" spans="1:46" ht="14.15" customHeight="1" x14ac:dyDescent="0.35">
      <c r="A63" s="9"/>
      <c r="B63" s="347"/>
      <c r="C63" s="347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12"/>
      <c r="V63" s="76" t="s">
        <v>85</v>
      </c>
      <c r="W63" s="287">
        <v>0.4</v>
      </c>
      <c r="X63" s="288">
        <v>0.26400000000000001</v>
      </c>
      <c r="Y63" s="288">
        <v>0.40400000000000003</v>
      </c>
      <c r="Z63" s="288">
        <v>8.3000000000000004E-2</v>
      </c>
      <c r="AA63" s="288">
        <v>0.17499999999999999</v>
      </c>
      <c r="AB63" s="288">
        <v>0.63049999999999995</v>
      </c>
      <c r="AC63" s="288">
        <v>0.65</v>
      </c>
      <c r="AD63" s="265">
        <v>0.35</v>
      </c>
      <c r="AN63"/>
      <c r="AO63"/>
      <c r="AP63"/>
      <c r="AQ63"/>
      <c r="AR63"/>
    </row>
    <row r="64" spans="1:46" ht="14.15" customHeight="1" x14ac:dyDescent="0.35">
      <c r="A64" s="350"/>
      <c r="B64" s="351"/>
      <c r="C64" s="351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3"/>
      <c r="S64" s="5"/>
      <c r="V64" s="76" t="s">
        <v>86</v>
      </c>
      <c r="W64" s="287" t="s">
        <v>40</v>
      </c>
      <c r="X64" s="264" t="s">
        <v>40</v>
      </c>
      <c r="Y64" s="264" t="s">
        <v>40</v>
      </c>
      <c r="Z64" s="288" t="s">
        <v>40</v>
      </c>
      <c r="AA64" s="264">
        <v>0.1</v>
      </c>
      <c r="AB64" s="264">
        <v>6.4990000000000006E-2</v>
      </c>
      <c r="AC64" s="290">
        <v>6.7000000000000004E-2</v>
      </c>
      <c r="AD64" s="265">
        <v>6.7000000000000004E-2</v>
      </c>
      <c r="AN64"/>
      <c r="AO64"/>
      <c r="AP64"/>
      <c r="AQ64"/>
      <c r="AR64"/>
    </row>
    <row r="65" spans="17:44" ht="15" customHeight="1" x14ac:dyDescent="0.35">
      <c r="Q65"/>
      <c r="V65" s="76" t="s">
        <v>87</v>
      </c>
      <c r="W65" s="287" t="s">
        <v>40</v>
      </c>
      <c r="X65" s="264" t="s">
        <v>40</v>
      </c>
      <c r="Y65" s="264" t="s">
        <v>40</v>
      </c>
      <c r="Z65" s="288" t="s">
        <v>40</v>
      </c>
      <c r="AA65" s="264">
        <v>0.1</v>
      </c>
      <c r="AB65" s="289">
        <v>6.4990000000000006E-2</v>
      </c>
      <c r="AC65" s="290">
        <v>6.7000000000000004E-2</v>
      </c>
      <c r="AD65" s="265">
        <v>6.7000000000000004E-2</v>
      </c>
      <c r="AN65"/>
      <c r="AO65"/>
      <c r="AP65"/>
      <c r="AQ65"/>
      <c r="AR65"/>
    </row>
    <row r="66" spans="17:44" ht="15" customHeight="1" x14ac:dyDescent="0.35">
      <c r="Q66"/>
      <c r="V66" s="76" t="s">
        <v>88</v>
      </c>
      <c r="W66" s="77" t="s">
        <v>40</v>
      </c>
      <c r="X66" s="78">
        <v>9.7166666666666679E-2</v>
      </c>
      <c r="Y66" s="78">
        <v>9.7166666666666679E-2</v>
      </c>
      <c r="Z66" s="78">
        <v>4.766666666666667E-2</v>
      </c>
      <c r="AA66" s="78">
        <v>9.1666666666666674E-2</v>
      </c>
      <c r="AB66" s="78">
        <f>AC66*0.97</f>
        <v>0.47724</v>
      </c>
      <c r="AC66" s="80">
        <v>0.49199999999999999</v>
      </c>
      <c r="AD66" s="81">
        <v>0.14666666666666667</v>
      </c>
      <c r="AN66"/>
      <c r="AO66"/>
      <c r="AP66"/>
      <c r="AQ66"/>
      <c r="AR66"/>
    </row>
    <row r="67" spans="17:44" ht="15" customHeight="1" x14ac:dyDescent="0.35">
      <c r="Q67"/>
      <c r="V67" s="76" t="s">
        <v>89</v>
      </c>
      <c r="W67" s="77" t="s">
        <v>40</v>
      </c>
      <c r="X67" s="79" t="s">
        <v>40</v>
      </c>
      <c r="Y67" s="79" t="s">
        <v>40</v>
      </c>
      <c r="Z67" s="78">
        <v>4.8400000000000006E-2</v>
      </c>
      <c r="AA67" s="80">
        <v>1.9800000000000002E-2</v>
      </c>
      <c r="AB67" s="80"/>
      <c r="AC67" s="79" t="s">
        <v>40</v>
      </c>
      <c r="AD67" s="230" t="s">
        <v>40</v>
      </c>
      <c r="AN67"/>
      <c r="AO67"/>
      <c r="AP67"/>
      <c r="AQ67"/>
      <c r="AR67"/>
    </row>
    <row r="68" spans="17:44" ht="15" customHeight="1" x14ac:dyDescent="0.35">
      <c r="Q68"/>
      <c r="V68" s="76"/>
      <c r="W68" s="77"/>
      <c r="X68" s="78"/>
      <c r="Y68" s="78"/>
      <c r="Z68" s="79"/>
      <c r="AA68" s="78"/>
      <c r="AB68" s="78"/>
      <c r="AC68" s="80"/>
      <c r="AD68" s="81"/>
      <c r="AN68"/>
      <c r="AO68"/>
      <c r="AP68"/>
      <c r="AQ68"/>
      <c r="AR68"/>
    </row>
    <row r="69" spans="17:44" ht="15" customHeight="1" x14ac:dyDescent="0.35">
      <c r="Q69"/>
      <c r="V69" s="76"/>
      <c r="W69" s="77"/>
      <c r="X69" s="78"/>
      <c r="Y69" s="78"/>
      <c r="Z69" s="78"/>
      <c r="AA69" s="78"/>
      <c r="AB69" s="78"/>
      <c r="AC69" s="80"/>
      <c r="AD69" s="230"/>
      <c r="AN69"/>
      <c r="AO69"/>
      <c r="AP69"/>
      <c r="AQ69"/>
      <c r="AR69"/>
    </row>
    <row r="70" spans="17:44" ht="15" customHeight="1" x14ac:dyDescent="0.35">
      <c r="Q70"/>
      <c r="V70" s="76"/>
      <c r="W70" s="354"/>
      <c r="X70" s="355"/>
      <c r="Y70" s="355"/>
      <c r="Z70" s="355"/>
      <c r="AA70" s="78"/>
      <c r="AB70" s="78"/>
      <c r="AC70" s="80"/>
      <c r="AD70" s="356"/>
      <c r="AN70"/>
      <c r="AO70"/>
      <c r="AP70"/>
      <c r="AQ70"/>
      <c r="AR70"/>
    </row>
    <row r="71" spans="17:44" ht="15" customHeight="1" x14ac:dyDescent="0.35">
      <c r="Q71"/>
      <c r="V71" s="76"/>
      <c r="W71" s="354"/>
      <c r="X71" s="355"/>
      <c r="Y71" s="355"/>
      <c r="Z71" s="355"/>
      <c r="AA71" s="78"/>
      <c r="AB71" s="78"/>
      <c r="AC71" s="80"/>
      <c r="AD71" s="356"/>
      <c r="AN71"/>
      <c r="AO71"/>
      <c r="AP71"/>
      <c r="AQ71"/>
      <c r="AR71"/>
    </row>
    <row r="72" spans="17:44" ht="15" customHeight="1" x14ac:dyDescent="0.35">
      <c r="Q72"/>
      <c r="V72" s="76"/>
      <c r="W72" s="77"/>
      <c r="X72" s="79"/>
      <c r="Y72" s="79"/>
      <c r="Z72" s="79"/>
      <c r="AA72" s="78"/>
      <c r="AB72" s="78"/>
      <c r="AC72" s="80"/>
      <c r="AD72" s="357"/>
      <c r="AN72"/>
      <c r="AO72"/>
      <c r="AP72"/>
      <c r="AQ72"/>
      <c r="AR72"/>
    </row>
    <row r="73" spans="17:44" ht="15" customHeight="1" x14ac:dyDescent="0.35">
      <c r="Q73"/>
      <c r="V73" s="76"/>
      <c r="W73" s="354"/>
      <c r="X73" s="355"/>
      <c r="Y73" s="355"/>
      <c r="Z73" s="355"/>
      <c r="AA73" s="78"/>
      <c r="AB73" s="78"/>
      <c r="AC73" s="80"/>
      <c r="AD73" s="356"/>
      <c r="AN73"/>
      <c r="AO73"/>
      <c r="AP73"/>
      <c r="AQ73"/>
      <c r="AR73"/>
    </row>
    <row r="74" spans="17:44" ht="15" customHeight="1" x14ac:dyDescent="0.35">
      <c r="Q74"/>
      <c r="V74" s="76"/>
      <c r="W74" s="354"/>
      <c r="X74" s="355"/>
      <c r="Y74" s="355"/>
      <c r="Z74" s="355"/>
      <c r="AA74" s="78"/>
      <c r="AB74" s="78"/>
      <c r="AC74" s="80"/>
      <c r="AD74" s="356"/>
      <c r="AN74"/>
      <c r="AO74"/>
      <c r="AP74"/>
      <c r="AQ74"/>
      <c r="AR74"/>
    </row>
    <row r="75" spans="17:44" ht="15" customHeight="1" x14ac:dyDescent="0.35">
      <c r="Q75"/>
      <c r="V75" s="76"/>
      <c r="W75" s="77"/>
      <c r="X75" s="79"/>
      <c r="Y75" s="79"/>
      <c r="Z75" s="79"/>
      <c r="AA75" s="78"/>
      <c r="AB75" s="78"/>
      <c r="AC75" s="80"/>
      <c r="AD75" s="357"/>
      <c r="AN75"/>
      <c r="AO75"/>
      <c r="AP75"/>
      <c r="AQ75"/>
      <c r="AR75"/>
    </row>
    <row r="76" spans="17:44" ht="15" customHeight="1" x14ac:dyDescent="0.35">
      <c r="Q76"/>
      <c r="V76" s="76"/>
      <c r="W76" s="354"/>
      <c r="X76" s="355"/>
      <c r="Y76" s="355"/>
      <c r="Z76" s="355"/>
      <c r="AA76" s="78"/>
      <c r="AB76" s="78"/>
      <c r="AC76" s="80"/>
      <c r="AD76" s="356"/>
      <c r="AN76"/>
      <c r="AO76"/>
      <c r="AP76"/>
      <c r="AQ76"/>
      <c r="AR76"/>
    </row>
    <row r="77" spans="17:44" ht="15" customHeight="1" x14ac:dyDescent="0.35">
      <c r="Q77"/>
      <c r="V77" s="76"/>
      <c r="W77" s="354"/>
      <c r="X77" s="355"/>
      <c r="Y77" s="355"/>
      <c r="Z77" s="355"/>
      <c r="AA77" s="78"/>
      <c r="AB77" s="78"/>
      <c r="AC77" s="80"/>
      <c r="AD77" s="356"/>
      <c r="AN77"/>
      <c r="AO77"/>
      <c r="AP77"/>
      <c r="AQ77"/>
      <c r="AR77"/>
    </row>
    <row r="78" spans="17:44" ht="15" customHeight="1" x14ac:dyDescent="0.35">
      <c r="Q78"/>
      <c r="V78" s="76"/>
      <c r="W78" s="354"/>
      <c r="X78" s="355"/>
      <c r="Y78" s="355"/>
      <c r="Z78" s="355"/>
      <c r="AA78" s="78"/>
      <c r="AB78" s="78"/>
      <c r="AC78" s="80"/>
      <c r="AD78" s="356"/>
      <c r="AN78"/>
      <c r="AO78"/>
      <c r="AP78"/>
      <c r="AQ78"/>
      <c r="AR78"/>
    </row>
    <row r="79" spans="17:44" ht="15" customHeight="1" x14ac:dyDescent="0.35">
      <c r="Q79"/>
      <c r="V79" s="76"/>
      <c r="W79" s="354"/>
      <c r="X79" s="355"/>
      <c r="Y79" s="355"/>
      <c r="Z79" s="355"/>
      <c r="AA79" s="78"/>
      <c r="AB79" s="78"/>
      <c r="AC79" s="80"/>
      <c r="AD79" s="356"/>
      <c r="AN79"/>
      <c r="AO79"/>
      <c r="AP79"/>
      <c r="AQ79"/>
      <c r="AR79"/>
    </row>
    <row r="80" spans="17:44" ht="15" customHeight="1" x14ac:dyDescent="0.35">
      <c r="Q80"/>
      <c r="V80" s="76"/>
      <c r="W80" s="79"/>
      <c r="X80" s="79"/>
      <c r="Y80" s="79"/>
      <c r="Z80" s="355"/>
      <c r="AA80" s="78"/>
      <c r="AB80" s="79"/>
      <c r="AC80" s="79"/>
      <c r="AD80" s="230"/>
      <c r="AN80"/>
      <c r="AO80"/>
      <c r="AP80"/>
      <c r="AQ80"/>
      <c r="AR80"/>
    </row>
    <row r="81" spans="17:44" ht="15" customHeight="1" x14ac:dyDescent="0.35">
      <c r="Q81"/>
      <c r="V81" s="76"/>
      <c r="W81" s="354"/>
      <c r="X81" s="355"/>
      <c r="Y81" s="355"/>
      <c r="Z81" s="355"/>
      <c r="AA81" s="78"/>
      <c r="AB81" s="78"/>
      <c r="AC81" s="80"/>
      <c r="AD81" s="356"/>
      <c r="AN81"/>
      <c r="AO81"/>
      <c r="AP81"/>
      <c r="AQ81"/>
      <c r="AR81"/>
    </row>
    <row r="82" spans="17:44" ht="15" customHeight="1" x14ac:dyDescent="0.35">
      <c r="Q82"/>
      <c r="V82" s="76"/>
      <c r="W82" s="77"/>
      <c r="X82" s="79"/>
      <c r="Y82" s="79"/>
      <c r="Z82" s="79"/>
      <c r="AA82" s="78"/>
      <c r="AB82" s="78"/>
      <c r="AC82" s="80"/>
      <c r="AD82" s="230"/>
      <c r="AN82"/>
      <c r="AO82"/>
      <c r="AP82"/>
      <c r="AQ82"/>
      <c r="AR82"/>
    </row>
    <row r="83" spans="17:44" ht="15" customHeight="1" x14ac:dyDescent="0.35">
      <c r="Q83"/>
      <c r="V83" s="76"/>
      <c r="W83" s="77"/>
      <c r="X83" s="79"/>
      <c r="Y83" s="79"/>
      <c r="Z83" s="79"/>
      <c r="AA83" s="78"/>
      <c r="AB83" s="78"/>
      <c r="AC83" s="80"/>
      <c r="AD83" s="357"/>
      <c r="AN83"/>
      <c r="AO83"/>
      <c r="AP83"/>
      <c r="AQ83"/>
      <c r="AR83"/>
    </row>
    <row r="84" spans="17:44" ht="15" customHeight="1" x14ac:dyDescent="0.35">
      <c r="Q84"/>
      <c r="V84" s="76"/>
      <c r="W84" s="77"/>
      <c r="X84" s="79"/>
      <c r="Y84" s="79"/>
      <c r="Z84" s="79"/>
      <c r="AA84" s="78"/>
      <c r="AB84" s="78"/>
      <c r="AC84" s="80"/>
      <c r="AD84" s="357"/>
      <c r="AN84"/>
      <c r="AO84"/>
      <c r="AP84"/>
      <c r="AQ84"/>
      <c r="AR84"/>
    </row>
    <row r="85" spans="17:44" ht="15" customHeight="1" x14ac:dyDescent="0.35">
      <c r="Q85"/>
      <c r="V85" s="76"/>
      <c r="W85" s="77"/>
      <c r="X85" s="79"/>
      <c r="Y85" s="79"/>
      <c r="Z85" s="79"/>
      <c r="AA85" s="78"/>
      <c r="AB85" s="78"/>
      <c r="AC85" s="80"/>
      <c r="AD85" s="357"/>
      <c r="AN85"/>
      <c r="AO85"/>
      <c r="AP85"/>
      <c r="AQ85"/>
      <c r="AR85"/>
    </row>
    <row r="86" spans="17:44" ht="15" customHeight="1" x14ac:dyDescent="0.35">
      <c r="Q86"/>
      <c r="V86" s="76"/>
      <c r="W86" s="77"/>
      <c r="X86" s="79"/>
      <c r="Y86" s="79"/>
      <c r="Z86" s="79"/>
      <c r="AA86" s="78"/>
      <c r="AB86" s="78"/>
      <c r="AC86" s="80"/>
      <c r="AD86" s="357"/>
      <c r="AN86"/>
      <c r="AO86"/>
      <c r="AP86"/>
      <c r="AQ86"/>
      <c r="AR86"/>
    </row>
    <row r="87" spans="17:44" ht="15" customHeight="1" x14ac:dyDescent="0.35">
      <c r="Q87"/>
      <c r="V87" s="76"/>
      <c r="W87" s="354"/>
      <c r="X87" s="355"/>
      <c r="Y87" s="355"/>
      <c r="Z87" s="355"/>
      <c r="AA87" s="78"/>
      <c r="AB87" s="78"/>
      <c r="AC87" s="80"/>
      <c r="AD87" s="356"/>
      <c r="AN87"/>
      <c r="AO87"/>
      <c r="AP87"/>
      <c r="AQ87"/>
      <c r="AR87"/>
    </row>
    <row r="88" spans="17:44" ht="15" customHeight="1" x14ac:dyDescent="0.35">
      <c r="Q88"/>
      <c r="V88" s="76"/>
      <c r="W88" s="77"/>
      <c r="X88" s="79"/>
      <c r="Y88" s="79"/>
      <c r="Z88" s="79"/>
      <c r="AA88" s="78"/>
      <c r="AB88" s="78"/>
      <c r="AC88" s="80"/>
      <c r="AD88" s="357"/>
    </row>
    <row r="89" spans="17:44" ht="15" customHeight="1" x14ac:dyDescent="0.35">
      <c r="Q89"/>
      <c r="V89" s="76"/>
      <c r="W89" s="354"/>
      <c r="X89" s="355"/>
      <c r="Y89" s="355"/>
      <c r="Z89" s="355"/>
      <c r="AA89" s="78"/>
      <c r="AB89" s="78"/>
      <c r="AC89" s="80"/>
      <c r="AD89" s="356"/>
    </row>
    <row r="90" spans="17:44" ht="15" customHeight="1" x14ac:dyDescent="0.35">
      <c r="Q90"/>
      <c r="V90" s="76"/>
      <c r="W90" s="77"/>
      <c r="X90" s="79"/>
      <c r="Y90" s="79"/>
      <c r="Z90" s="79"/>
      <c r="AA90" s="78"/>
      <c r="AB90" s="78"/>
      <c r="AC90" s="80"/>
      <c r="AD90" s="357"/>
    </row>
    <row r="91" spans="17:44" ht="15" customHeight="1" x14ac:dyDescent="0.35">
      <c r="Q91"/>
      <c r="V91" s="76"/>
      <c r="W91" s="354"/>
      <c r="X91" s="355"/>
      <c r="Y91" s="355"/>
      <c r="Z91" s="355"/>
      <c r="AA91" s="78"/>
      <c r="AB91" s="78"/>
      <c r="AC91" s="80"/>
      <c r="AD91" s="356"/>
    </row>
    <row r="92" spans="17:44" ht="15" customHeight="1" x14ac:dyDescent="0.35">
      <c r="Q92"/>
      <c r="V92" s="76"/>
      <c r="W92" s="77"/>
      <c r="X92" s="79"/>
      <c r="Y92" s="79"/>
      <c r="Z92" s="79"/>
      <c r="AA92" s="78"/>
      <c r="AB92" s="78"/>
      <c r="AC92" s="80"/>
      <c r="AD92" s="357"/>
    </row>
    <row r="93" spans="17:44" ht="15" customHeight="1" x14ac:dyDescent="0.35">
      <c r="Q93"/>
      <c r="V93" s="76"/>
      <c r="W93" s="354"/>
      <c r="X93" s="355"/>
      <c r="Y93" s="355"/>
      <c r="Z93" s="355"/>
      <c r="AA93" s="78"/>
      <c r="AB93" s="78"/>
      <c r="AC93" s="80"/>
      <c r="AD93" s="356"/>
    </row>
    <row r="94" spans="17:44" ht="15" customHeight="1" x14ac:dyDescent="0.35">
      <c r="Q94"/>
      <c r="V94" s="76"/>
      <c r="W94" s="354"/>
      <c r="X94" s="355"/>
      <c r="Y94" s="355"/>
      <c r="Z94" s="355"/>
      <c r="AA94" s="78"/>
      <c r="AB94" s="78"/>
      <c r="AC94" s="80"/>
      <c r="AD94" s="356"/>
    </row>
    <row r="95" spans="17:44" ht="15" customHeight="1" x14ac:dyDescent="0.35">
      <c r="Q95"/>
      <c r="V95" s="76"/>
      <c r="W95" s="358"/>
      <c r="X95" s="359"/>
      <c r="Y95" s="359"/>
      <c r="Z95" s="359"/>
      <c r="AA95" s="360"/>
      <c r="AB95" s="360"/>
      <c r="AC95" s="361"/>
      <c r="AD95" s="356"/>
    </row>
    <row r="96" spans="17:44" ht="15" customHeight="1" x14ac:dyDescent="0.35">
      <c r="Q96"/>
      <c r="V96" s="76"/>
      <c r="W96" s="77"/>
      <c r="X96" s="79"/>
      <c r="Y96" s="79"/>
      <c r="Z96" s="79"/>
      <c r="AA96" s="78"/>
      <c r="AB96" s="78"/>
      <c r="AC96" s="80"/>
      <c r="AD96" s="357"/>
    </row>
    <row r="97" spans="22:30" ht="15" customHeight="1" x14ac:dyDescent="0.35">
      <c r="V97" s="76"/>
      <c r="W97" s="358"/>
      <c r="X97" s="359"/>
      <c r="Y97" s="359"/>
      <c r="Z97" s="359"/>
      <c r="AA97" s="360"/>
      <c r="AB97" s="360"/>
      <c r="AC97" s="361"/>
      <c r="AD97" s="356"/>
    </row>
    <row r="98" spans="22:30" ht="15" customHeight="1" x14ac:dyDescent="0.35">
      <c r="V98" s="76"/>
      <c r="W98" s="77"/>
      <c r="X98" s="79"/>
      <c r="Y98" s="79"/>
      <c r="Z98" s="79"/>
      <c r="AA98" s="78"/>
      <c r="AB98" s="78"/>
      <c r="AC98" s="80"/>
      <c r="AD98" s="357"/>
    </row>
    <row r="99" spans="22:30" ht="15" customHeight="1" x14ac:dyDescent="0.35">
      <c r="V99" s="362"/>
      <c r="W99" s="77"/>
      <c r="X99" s="79"/>
      <c r="Y99" s="79"/>
      <c r="Z99" s="79"/>
      <c r="AA99" s="78"/>
      <c r="AB99" s="78"/>
      <c r="AC99" s="80"/>
      <c r="AD99" s="357"/>
    </row>
    <row r="100" spans="22:30" ht="15" customHeight="1" x14ac:dyDescent="0.35">
      <c r="V100" s="363" t="s">
        <v>90</v>
      </c>
      <c r="W100" s="364">
        <v>1</v>
      </c>
      <c r="X100" s="365">
        <v>1</v>
      </c>
      <c r="Y100" s="365">
        <v>1</v>
      </c>
      <c r="Z100" s="365">
        <v>1</v>
      </c>
      <c r="AA100" s="365">
        <v>1</v>
      </c>
      <c r="AB100" s="365">
        <v>1</v>
      </c>
      <c r="AC100" s="365">
        <v>1</v>
      </c>
      <c r="AD100" s="366">
        <v>1</v>
      </c>
    </row>
    <row r="101" spans="22:30" ht="15" customHeight="1" x14ac:dyDescent="0.35">
      <c r="V101" s="367" t="s">
        <v>91</v>
      </c>
      <c r="W101" s="368">
        <v>1</v>
      </c>
      <c r="X101" s="369">
        <v>1</v>
      </c>
      <c r="Y101" s="369">
        <v>1</v>
      </c>
      <c r="Z101" s="369">
        <v>1</v>
      </c>
      <c r="AA101" s="369">
        <v>1</v>
      </c>
      <c r="AB101" s="369">
        <v>1</v>
      </c>
      <c r="AC101" s="369">
        <v>1</v>
      </c>
      <c r="AD101" s="370">
        <v>1</v>
      </c>
    </row>
    <row r="102" spans="22:30" ht="15" customHeight="1" thickBot="1" x14ac:dyDescent="0.4">
      <c r="V102" s="371" t="s">
        <v>22</v>
      </c>
      <c r="W102" s="372" t="s">
        <v>23</v>
      </c>
      <c r="X102" s="373" t="s">
        <v>24</v>
      </c>
      <c r="Y102" s="373" t="s">
        <v>25</v>
      </c>
      <c r="Z102" s="373" t="s">
        <v>26</v>
      </c>
      <c r="AA102" s="373" t="s">
        <v>27</v>
      </c>
      <c r="AB102" s="373" t="s">
        <v>92</v>
      </c>
      <c r="AC102" s="373" t="s">
        <v>93</v>
      </c>
      <c r="AD102" s="374" t="s">
        <v>30</v>
      </c>
    </row>
    <row r="103" spans="22:30" ht="15" customHeight="1" thickTop="1" x14ac:dyDescent="0.35"/>
    <row r="113" ht="25" customHeight="1" x14ac:dyDescent="0.35"/>
  </sheetData>
  <mergeCells count="4">
    <mergeCell ref="E4:H4"/>
    <mergeCell ref="J4:L4"/>
    <mergeCell ref="B1:L3"/>
    <mergeCell ref="B4:C4"/>
  </mergeCells>
  <printOptions horizontalCentered="1" verticalCentered="1"/>
  <pageMargins left="0" right="0" top="0" bottom="0" header="0" footer="0"/>
  <pageSetup paperSize="9" scale="90" orientation="portrait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adisty</dc:creator>
  <cp:lastModifiedBy>bella adisty</cp:lastModifiedBy>
  <dcterms:created xsi:type="dcterms:W3CDTF">2025-11-04T00:39:06Z</dcterms:created>
  <dcterms:modified xsi:type="dcterms:W3CDTF">2025-11-04T01:34:37Z</dcterms:modified>
</cp:coreProperties>
</file>